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" sheetId="1" r:id="rId1"/>
    <sheet name="SubGroups" sheetId="2" r:id="rId2"/>
    <sheet name="LibEvents" sheetId="3" r:id="rId3"/>
    <sheet name="Reports" sheetId="4" r:id="rId4"/>
    <sheet name="Sheet1" sheetId="5" r:id="rId5"/>
  </sheets>
  <definedNames>
    <definedName name="_xlnm._FilterDatabase" localSheetId="1" hidden="1">'SubGroups'!A1:H93</definedName>
    <definedName name="_xlnm._FilterDatabase" localSheetId="2" hidden="1">'LibEvents'!A1:M334</definedName>
    <definedName name="_xlnm._FilterDatabase" localSheetId="3" hidden="1">'Reports'!A1:G98</definedName>
  </definedNames>
</workbook>
</file>

<file path=xl/comments4.xml><?xml version="1.0" encoding="utf-8"?>
<comments xmlns="http://schemas.openxmlformats.org/spreadsheetml/2006/main">
  <authors>
    <author>Peter Bidali</author>
  </authors>
  <commentList>
    <comment ref="C1" authorId="0">
      <text>
        <t xml:space="preserve">Peter Bidali:
0 - don’t pull
1 - pull if not exists
2 force pull</t>
      </text>
    </comment>
    <comment ref="E1" authorId="0">
      <text>
        <t xml:space="preserve">Peter Bidali:
0 - don’t pull
1 - pull if not exists
2 force pull</t>
      </text>
    </comment>
    <comment ref="F1" authorId="0">
      <text>
        <t xml:space="preserve">Peter Bidali:
0 - don’t pull
1 - pull if not exists
2 force pull</t>
      </text>
    </comment>
    <comment ref="G1" authorId="0">
      <text>
        <t xml:space="preserve">Peter Bidali:
0 - don’t pull
1 - pull if not exists
2 force pull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Name</v>
      </c>
      <c r="B1" t="str">
        <v>year</v>
      </c>
      <c r="C1" t="str">
        <v>month</v>
      </c>
      <c r="D1" t="str">
        <v>day</v>
      </c>
      <c r="E1" t="str">
        <v>hour</v>
      </c>
      <c r="F1" t="str">
        <v>minute</v>
      </c>
      <c r="G1" t="str">
        <v>second</v>
      </c>
    </row>
    <row r="2">
      <c r="A2" t="str">
        <v>FROM</v>
      </c>
      <c r="B2">
        <v>2026</v>
      </c>
      <c r="C2">
        <v>6</v>
      </c>
      <c r="D2">
        <v>1</v>
      </c>
      <c r="E2">
        <v>0</v>
      </c>
      <c r="F2">
        <v>0</v>
      </c>
      <c r="G2">
        <v>0</v>
      </c>
    </row>
    <row r="3">
      <c r="A3" t="str">
        <v>TO</v>
      </c>
      <c r="B3">
        <v>2026</v>
      </c>
      <c r="C3">
        <v>6</v>
      </c>
      <c r="D3">
        <v>12</v>
      </c>
      <c r="E3">
        <v>7</v>
      </c>
      <c r="F3">
        <v>7</v>
      </c>
      <c r="G3">
        <v>33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3"/>
  <sheetViews>
    <sheetView workbookViewId="0" rightToLeft="0"/>
  </sheetViews>
  <sheetData>
    <row r="1">
      <c r="A1" t="str">
        <v>parentGroupId</v>
      </c>
      <c r="B1" t="str">
        <v>parentGroupName</v>
      </c>
      <c r="C1" t="str">
        <v>GroupId</v>
      </c>
      <c r="D1" t="str">
        <v>Name</v>
      </c>
      <c r="E1" t="str">
        <v>Type</v>
      </c>
      <c r="F1" t="str">
        <v>n_subgroups</v>
      </c>
      <c r="G1" t="str">
        <v>process_org</v>
      </c>
      <c r="H1" t="str">
        <v>report_name</v>
      </c>
    </row>
    <row r="2">
      <c r="A2" t="str">
        <v>A</v>
      </c>
      <c r="C2" t="str">
        <v>A3522792081055458809</v>
      </c>
      <c r="D2" t="str">
        <v>LafargeHolcim - Kenya</v>
      </c>
      <c r="E2" t="str">
        <v>OrganisationGroup</v>
      </c>
      <c r="F2">
        <v>89</v>
      </c>
      <c r="G2">
        <v>0</v>
      </c>
    </row>
    <row r="3">
      <c r="A3" t="str">
        <v>A3522792081055458809</v>
      </c>
      <c r="B3" t="str">
        <v>LafargeHolcim - Kenya</v>
      </c>
      <c r="C3" t="str">
        <v>A7403343027773609810</v>
      </c>
      <c r="D3" t="str">
        <v>Controltech - Dakawou</v>
      </c>
      <c r="E3" t="str">
        <v>DefaultSite</v>
      </c>
      <c r="F3">
        <v>0</v>
      </c>
      <c r="G3">
        <v>0</v>
      </c>
      <c r="H3" t="str">
        <v>Dakawou</v>
      </c>
      <c r="I3" t="str">
        <v>Dakawou</v>
      </c>
    </row>
    <row r="4">
      <c r="A4" t="str">
        <v>A3522792081055458809</v>
      </c>
      <c r="B4" t="str">
        <v>LafargeHolcim - Kenya</v>
      </c>
      <c r="C4" t="str">
        <v>A4418954729240895341</v>
      </c>
      <c r="D4" t="str">
        <v>Controltech - Roy Hauliers</v>
      </c>
      <c r="E4" t="str">
        <v>SiteGroup</v>
      </c>
      <c r="F4">
        <v>0</v>
      </c>
      <c r="G4">
        <v>0</v>
      </c>
      <c r="H4" t="str">
        <v>Roy Hauliers - Lafarge</v>
      </c>
    </row>
    <row r="5">
      <c r="A5" t="str">
        <v>A3522792081055458809</v>
      </c>
      <c r="B5" t="str">
        <v>LafargeHolcim - Kenya</v>
      </c>
      <c r="C5" t="str">
        <v>A5618610688513635731</v>
      </c>
      <c r="D5" t="str">
        <v>Controltech - Manara</v>
      </c>
      <c r="E5" t="str">
        <v>SiteGroup</v>
      </c>
      <c r="F5">
        <v>0</v>
      </c>
      <c r="G5">
        <v>0</v>
      </c>
      <c r="H5" t="str">
        <v>Manara</v>
      </c>
      <c r="I5" t="str">
        <v>Manara</v>
      </c>
    </row>
    <row r="6">
      <c r="A6" t="str">
        <v>A3522792081055458809</v>
      </c>
      <c r="B6" t="str">
        <v>LafargeHolcim - Kenya</v>
      </c>
      <c r="C6" t="str">
        <v>A7699777479821975148</v>
      </c>
      <c r="D6" t="str">
        <v>X-decommissioned</v>
      </c>
      <c r="E6" t="str">
        <v>SiteGroup</v>
      </c>
      <c r="F6">
        <v>0</v>
      </c>
      <c r="G6">
        <v>0</v>
      </c>
    </row>
    <row r="7">
      <c r="A7" t="str">
        <v>A3522792081055458809</v>
      </c>
      <c r="B7" t="str">
        <v>LafargeHolcim - Kenya</v>
      </c>
      <c r="C7" t="str">
        <v>A-464077006373406033</v>
      </c>
      <c r="D7" t="str">
        <v>Controltech - East African Roadways</v>
      </c>
      <c r="E7" t="str">
        <v>SiteGroup</v>
      </c>
      <c r="F7">
        <v>0</v>
      </c>
      <c r="G7">
        <v>0</v>
      </c>
      <c r="H7" t="str">
        <v>East African Roadways</v>
      </c>
    </row>
    <row r="8">
      <c r="A8" t="str">
        <v>A3522792081055458809</v>
      </c>
      <c r="B8" t="str">
        <v>LafargeHolcim - Kenya</v>
      </c>
      <c r="C8" t="str">
        <v>A-4343941021127878515</v>
      </c>
      <c r="D8" t="str">
        <v>Controltech - Roy Transmotors</v>
      </c>
      <c r="E8" t="str">
        <v>SiteGroup</v>
      </c>
      <c r="F8">
        <v>0</v>
      </c>
      <c r="G8">
        <v>0</v>
      </c>
      <c r="H8" t="str">
        <v>Roy Transmotors</v>
      </c>
    </row>
    <row r="9">
      <c r="A9" t="str">
        <v>A3522792081055458809</v>
      </c>
      <c r="B9" t="str">
        <v>LafargeHolcim - Kenya</v>
      </c>
      <c r="C9" t="str">
        <v>A-9092293448462561939</v>
      </c>
      <c r="D9" t="str">
        <v>Controltech - Anwarali</v>
      </c>
      <c r="E9" t="str">
        <v>SiteGroup</v>
      </c>
      <c r="F9">
        <v>0</v>
      </c>
      <c r="G9">
        <v>0</v>
      </c>
      <c r="H9" t="str">
        <v>Anwarali</v>
      </c>
    </row>
    <row r="10">
      <c r="A10" t="str">
        <v>A3522792081055458809</v>
      </c>
      <c r="B10" t="str">
        <v>LafargeHolcim - Kenya</v>
      </c>
      <c r="C10" t="str">
        <v>A6934068069154172364</v>
      </c>
      <c r="D10" t="str">
        <v>Controltech - BSP</v>
      </c>
      <c r="E10" t="str">
        <v>SiteGroup</v>
      </c>
      <c r="F10">
        <v>0</v>
      </c>
      <c r="G10">
        <v>0</v>
      </c>
      <c r="H10" t="str">
        <v>BSP</v>
      </c>
    </row>
    <row r="11">
      <c r="A11" t="str">
        <v>A3522792081055458809</v>
      </c>
      <c r="B11" t="str">
        <v>LafargeHolcim - Kenya</v>
      </c>
      <c r="C11" t="str">
        <v>A454895647039604167</v>
      </c>
      <c r="D11" t="str">
        <v>Controltech - Metro Logistics</v>
      </c>
      <c r="E11" t="str">
        <v>SiteGroup</v>
      </c>
      <c r="F11">
        <v>0</v>
      </c>
      <c r="G11">
        <v>0</v>
      </c>
      <c r="H11" t="str">
        <v>Metro Logistics</v>
      </c>
    </row>
    <row r="12">
      <c r="A12" t="str">
        <v>A3522792081055458809</v>
      </c>
      <c r="B12" t="str">
        <v>LafargeHolcim - Kenya</v>
      </c>
      <c r="C12" t="str">
        <v>A-4544390854293946099</v>
      </c>
      <c r="D12" t="str">
        <v>XN - Decommissioned</v>
      </c>
      <c r="E12" t="str">
        <v>SiteGroup</v>
      </c>
      <c r="F12">
        <v>0</v>
      </c>
      <c r="G12">
        <v>0</v>
      </c>
    </row>
    <row r="13">
      <c r="A13" t="str">
        <v>A3522792081055458809</v>
      </c>
      <c r="B13" t="str">
        <v>LafargeHolcim - Kenya</v>
      </c>
      <c r="C13" t="str">
        <v>A-1852537886190577639</v>
      </c>
      <c r="D13" t="str">
        <v>Controltech - Derdols Tech Services</v>
      </c>
      <c r="E13" t="str">
        <v>SiteGroup</v>
      </c>
      <c r="F13">
        <v>0</v>
      </c>
      <c r="G13">
        <v>0</v>
      </c>
      <c r="H13" t="str">
        <v>Derdols Tech Services</v>
      </c>
    </row>
    <row r="14">
      <c r="A14" t="str">
        <v>A3522792081055458809</v>
      </c>
      <c r="B14" t="str">
        <v>LafargeHolcim - Kenya</v>
      </c>
      <c r="C14" t="str">
        <v>A-4129181721895352770</v>
      </c>
      <c r="D14" t="str">
        <v>Controltech - Sharlykon Investment</v>
      </c>
      <c r="E14" t="str">
        <v>SiteGroup</v>
      </c>
      <c r="F14">
        <v>0</v>
      </c>
      <c r="G14">
        <v>0</v>
      </c>
      <c r="H14" t="str">
        <v>Sharlycon Invesment</v>
      </c>
    </row>
    <row r="15">
      <c r="A15" t="str">
        <v>A3522792081055458809</v>
      </c>
      <c r="B15" t="str">
        <v>LafargeHolcim - Kenya</v>
      </c>
      <c r="C15" t="str">
        <v>A-2145253144127042166</v>
      </c>
      <c r="D15" t="str">
        <v>Controltech - Traillink</v>
      </c>
      <c r="E15" t="str">
        <v>SiteGroup</v>
      </c>
      <c r="F15">
        <v>0</v>
      </c>
      <c r="G15">
        <v>0</v>
      </c>
      <c r="H15" t="str">
        <v>Traillink</v>
      </c>
    </row>
    <row r="16">
      <c r="A16" t="str">
        <v>A3522792081055458809</v>
      </c>
      <c r="B16" t="str">
        <v>LafargeHolcim - Kenya</v>
      </c>
      <c r="C16" t="str">
        <v>A-6292756832977262096</v>
      </c>
      <c r="D16" t="str">
        <v>Controltech - Buzeki</v>
      </c>
      <c r="E16" t="str">
        <v>SiteGroup</v>
      </c>
      <c r="F16">
        <v>0</v>
      </c>
      <c r="G16">
        <v>0</v>
      </c>
      <c r="H16" t="str">
        <v>Buzeki</v>
      </c>
    </row>
    <row r="17">
      <c r="A17" t="str">
        <v>A3522792081055458809</v>
      </c>
      <c r="B17" t="str">
        <v>LafargeHolcim - Kenya</v>
      </c>
      <c r="C17" t="str">
        <v>A-4585359776315364181</v>
      </c>
      <c r="D17" t="str">
        <v>Controltech - Astrum Limited (BSP)</v>
      </c>
      <c r="E17" t="str">
        <v>SiteGroup</v>
      </c>
      <c r="F17">
        <v>0</v>
      </c>
      <c r="G17">
        <v>0</v>
      </c>
      <c r="H17" t="str">
        <v>Astrum Limited (BSP)</v>
      </c>
    </row>
    <row r="18">
      <c r="A18" t="str">
        <v>A3522792081055458809</v>
      </c>
      <c r="B18" t="str">
        <v>LafargeHolcim - Kenya</v>
      </c>
      <c r="C18" t="str">
        <v>A6581130220953807033</v>
      </c>
      <c r="D18" t="str">
        <v>Controltech - Epanko (BSP)</v>
      </c>
      <c r="E18" t="str">
        <v>SiteGroup</v>
      </c>
      <c r="F18">
        <v>0</v>
      </c>
      <c r="G18">
        <v>0</v>
      </c>
    </row>
    <row r="19">
      <c r="A19" t="str">
        <v>A3522792081055458809</v>
      </c>
      <c r="B19" t="str">
        <v>LafargeHolcim - Kenya</v>
      </c>
      <c r="C19" t="str">
        <v>A-3173506268694453379</v>
      </c>
      <c r="D19" t="str">
        <v>Controltech - Brits Freighters</v>
      </c>
      <c r="E19" t="str">
        <v>SiteGroup</v>
      </c>
      <c r="F19">
        <v>0</v>
      </c>
      <c r="G19">
        <v>0</v>
      </c>
      <c r="H19" t="str">
        <v>Brits Freighters</v>
      </c>
    </row>
    <row r="20">
      <c r="A20" t="str">
        <v>A3522792081055458809</v>
      </c>
      <c r="B20" t="str">
        <v>LafargeHolcim - Kenya</v>
      </c>
      <c r="C20" t="str">
        <v>A-5415230745220837951</v>
      </c>
      <c r="D20" t="str">
        <v>Controltech - Delight (BSP)</v>
      </c>
      <c r="E20" t="str">
        <v>SiteGroup</v>
      </c>
      <c r="F20">
        <v>0</v>
      </c>
      <c r="G20">
        <v>0</v>
      </c>
      <c r="H20" t="str">
        <v>Delight (BSP)</v>
      </c>
    </row>
    <row r="21">
      <c r="A21" t="str">
        <v>A3522792081055458809</v>
      </c>
      <c r="B21" t="str">
        <v>LafargeHolcim - Kenya</v>
      </c>
      <c r="C21" t="str">
        <v>A-7197030187842045730</v>
      </c>
      <c r="D21" t="str">
        <v>Controltech - Fazluna Enterprises</v>
      </c>
      <c r="E21" t="str">
        <v>SiteGroup</v>
      </c>
      <c r="F21">
        <v>0</v>
      </c>
      <c r="G21">
        <v>0</v>
      </c>
      <c r="H21" t="str">
        <v>Fazluna Enterprises</v>
      </c>
    </row>
    <row r="22">
      <c r="A22" t="str">
        <v>A3522792081055458809</v>
      </c>
      <c r="B22" t="str">
        <v>LafargeHolcim - Kenya</v>
      </c>
      <c r="C22" t="str">
        <v>A976350079656943688</v>
      </c>
      <c r="D22" t="str">
        <v>Controltech - Masai</v>
      </c>
      <c r="E22" t="str">
        <v>SiteGroup</v>
      </c>
      <c r="F22">
        <v>0</v>
      </c>
      <c r="G22">
        <v>0</v>
      </c>
      <c r="H22" t="str">
        <v>Masai</v>
      </c>
    </row>
    <row r="23">
      <c r="A23" t="str">
        <v>A3522792081055458809</v>
      </c>
      <c r="B23" t="str">
        <v>LafargeHolcim - Kenya</v>
      </c>
      <c r="C23" t="str">
        <v>A8456201410814466565</v>
      </c>
      <c r="D23" t="str">
        <v>Controltech - Lex (BSP)</v>
      </c>
      <c r="E23" t="str">
        <v>SiteGroup</v>
      </c>
      <c r="F23">
        <v>0</v>
      </c>
      <c r="G23">
        <v>0</v>
      </c>
      <c r="H23" t="str">
        <v>Lex (BSP)</v>
      </c>
    </row>
    <row r="24">
      <c r="A24" t="str">
        <v>A3522792081055458809</v>
      </c>
      <c r="B24" t="str">
        <v>LafargeHolcim - Kenya</v>
      </c>
      <c r="C24" t="str">
        <v>A-8424046550863244950</v>
      </c>
      <c r="D24" t="str">
        <v>Controltech - Palemtu Limited</v>
      </c>
      <c r="E24" t="str">
        <v>SiteGroup</v>
      </c>
      <c r="F24">
        <v>0</v>
      </c>
      <c r="G24">
        <v>0</v>
      </c>
      <c r="H24" t="str">
        <v>Palemtu Limited</v>
      </c>
    </row>
    <row r="25">
      <c r="A25" t="str">
        <v>A3522792081055458809</v>
      </c>
      <c r="B25" t="str">
        <v>LafargeHolcim - Kenya</v>
      </c>
      <c r="C25" t="str">
        <v>A6322763112029229663</v>
      </c>
      <c r="D25" t="str">
        <v>Controltech - Mbatia Investments</v>
      </c>
      <c r="E25" t="str">
        <v>SiteGroup</v>
      </c>
      <c r="F25">
        <v>0</v>
      </c>
      <c r="G25">
        <v>0</v>
      </c>
      <c r="H25" t="str">
        <v>Mbatia Investments</v>
      </c>
    </row>
    <row r="26">
      <c r="A26" t="str">
        <v>A3522792081055458809</v>
      </c>
      <c r="B26" t="str">
        <v>LafargeHolcim - Kenya</v>
      </c>
      <c r="C26" t="str">
        <v>A2647277251363339666</v>
      </c>
      <c r="D26" t="str">
        <v>Controltech - Hacienda</v>
      </c>
      <c r="E26" t="str">
        <v>SiteGroup</v>
      </c>
      <c r="F26">
        <v>0</v>
      </c>
      <c r="G26">
        <v>0</v>
      </c>
      <c r="H26" t="str">
        <v>Hacienda</v>
      </c>
    </row>
    <row r="27">
      <c r="A27" t="str">
        <v>A3522792081055458809</v>
      </c>
      <c r="B27" t="str">
        <v>LafargeHolcim - Kenya</v>
      </c>
      <c r="C27" t="str">
        <v>A2155832165402728743</v>
      </c>
      <c r="D27" t="str">
        <v>Controltech - Jopeed (BSP)</v>
      </c>
      <c r="E27" t="str">
        <v>SiteGroup</v>
      </c>
      <c r="F27">
        <v>0</v>
      </c>
      <c r="G27">
        <v>0</v>
      </c>
      <c r="H27" t="str">
        <v>Jopeed (BSP)</v>
      </c>
    </row>
    <row r="28">
      <c r="A28" t="str">
        <v>A3522792081055458809</v>
      </c>
      <c r="B28" t="str">
        <v>LafargeHolcim - Kenya</v>
      </c>
      <c r="C28" t="str">
        <v>A-1576930594494223048</v>
      </c>
      <c r="D28" t="str">
        <v>Controltech - Alfalah Logistics limited</v>
      </c>
      <c r="E28" t="str">
        <v>SiteGroup</v>
      </c>
      <c r="F28">
        <v>0</v>
      </c>
      <c r="G28">
        <v>0</v>
      </c>
      <c r="H28" t="str">
        <v>Alfalah Logistics limited</v>
      </c>
    </row>
    <row r="29">
      <c r="A29" t="str">
        <v>A3522792081055458809</v>
      </c>
      <c r="B29" t="str">
        <v>LafargeHolcim - Kenya</v>
      </c>
      <c r="C29" t="str">
        <v>A3063534842139326392</v>
      </c>
      <c r="D29" t="str">
        <v>Controltech - Country Farm</v>
      </c>
      <c r="E29" t="str">
        <v>SiteGroup</v>
      </c>
      <c r="F29">
        <v>0</v>
      </c>
      <c r="G29">
        <v>0</v>
      </c>
      <c r="H29" t="str">
        <v>Country Farm</v>
      </c>
    </row>
    <row r="30">
      <c r="A30" t="str">
        <v>A3522792081055458809</v>
      </c>
      <c r="B30" t="str">
        <v>LafargeHolcim - Kenya</v>
      </c>
      <c r="C30" t="str">
        <v>A6354425853045721748</v>
      </c>
      <c r="D30" t="str">
        <v>Controltech - Bemoney Investment</v>
      </c>
      <c r="E30" t="str">
        <v>SiteGroup</v>
      </c>
      <c r="F30">
        <v>0</v>
      </c>
      <c r="G30">
        <v>0</v>
      </c>
      <c r="H30" t="str">
        <v>Bemoney Investment</v>
      </c>
    </row>
    <row r="31">
      <c r="A31" t="str">
        <v>A3522792081055458809</v>
      </c>
      <c r="B31" t="str">
        <v>LafargeHolcim - Kenya</v>
      </c>
      <c r="C31" t="str">
        <v>A4588842813180226142</v>
      </c>
      <c r="D31" t="str">
        <v>Controltech - K.B Sanghani</v>
      </c>
      <c r="E31" t="str">
        <v>SiteGroup</v>
      </c>
      <c r="F31">
        <v>0</v>
      </c>
      <c r="G31">
        <v>0</v>
      </c>
      <c r="H31" t="str">
        <v>K.B Sanghani</v>
      </c>
    </row>
    <row r="32">
      <c r="A32" t="str">
        <v>A3522792081055458809</v>
      </c>
      <c r="B32" t="str">
        <v>LafargeHolcim - Kenya</v>
      </c>
      <c r="C32" t="str">
        <v>A3696934741574986078</v>
      </c>
      <c r="D32" t="str">
        <v>Controltech - Malawanza</v>
      </c>
      <c r="E32" t="str">
        <v>SiteGroup</v>
      </c>
      <c r="F32">
        <v>0</v>
      </c>
      <c r="G32">
        <v>0</v>
      </c>
      <c r="H32" t="str">
        <v>Malawanza</v>
      </c>
    </row>
    <row r="33">
      <c r="A33" t="str">
        <v>A3522792081055458809</v>
      </c>
      <c r="B33" t="str">
        <v>LafargeHolcim - Kenya</v>
      </c>
      <c r="C33" t="str">
        <v>A3398148801925414866</v>
      </c>
      <c r="D33" t="str">
        <v>Controltech - GrandSubterra</v>
      </c>
      <c r="E33" t="str">
        <v>SiteGroup</v>
      </c>
      <c r="F33">
        <v>0</v>
      </c>
      <c r="G33">
        <v>0</v>
      </c>
      <c r="H33" t="str">
        <v>GrandSubterra</v>
      </c>
    </row>
    <row r="34">
      <c r="A34" t="str">
        <v>A3522792081055458809</v>
      </c>
      <c r="B34" t="str">
        <v>LafargeHolcim - Kenya</v>
      </c>
      <c r="C34" t="str">
        <v>A-242693653535633795</v>
      </c>
      <c r="D34" t="str">
        <v>Controltech - Ponty Pridd</v>
      </c>
      <c r="E34" t="str">
        <v>SiteGroup</v>
      </c>
      <c r="F34">
        <v>0</v>
      </c>
      <c r="G34">
        <v>0</v>
      </c>
      <c r="H34" t="str">
        <v>Ponty Pridd</v>
      </c>
    </row>
    <row r="35">
      <c r="A35" t="str">
        <v>A3522792081055458809</v>
      </c>
      <c r="B35" t="str">
        <v>LafargeHolcim - Kenya</v>
      </c>
      <c r="C35" t="str">
        <v>A-5841527007631090080</v>
      </c>
      <c r="D35" t="str">
        <v>Controltech - Arabian Transport Ventures</v>
      </c>
      <c r="E35" t="str">
        <v>SiteGroup</v>
      </c>
      <c r="F35">
        <v>0</v>
      </c>
      <c r="G35">
        <v>0</v>
      </c>
      <c r="H35" t="str">
        <v>Arabian Transport</v>
      </c>
    </row>
    <row r="36">
      <c r="A36" t="str">
        <v>A3522792081055458809</v>
      </c>
      <c r="B36" t="str">
        <v>LafargeHolcim - Kenya</v>
      </c>
      <c r="C36" t="str">
        <v>A8588452166095564806</v>
      </c>
      <c r="D36" t="str">
        <v>Controltech - Divine Assinter</v>
      </c>
      <c r="E36" t="str">
        <v>SiteGroup</v>
      </c>
      <c r="F36">
        <v>0</v>
      </c>
      <c r="G36">
        <v>0</v>
      </c>
      <c r="H36" t="str">
        <v>Divine Assinter</v>
      </c>
    </row>
    <row r="37">
      <c r="A37" t="str">
        <v>A3522792081055458809</v>
      </c>
      <c r="B37" t="str">
        <v>LafargeHolcim - Kenya</v>
      </c>
      <c r="C37" t="str">
        <v>A7004404698196538423</v>
      </c>
      <c r="D37" t="str">
        <v>Controltech - Bamico</v>
      </c>
      <c r="E37" t="str">
        <v>SiteGroup</v>
      </c>
      <c r="F37">
        <v>0</v>
      </c>
      <c r="G37">
        <v>0</v>
      </c>
      <c r="H37" t="str">
        <v>Bamico</v>
      </c>
    </row>
    <row r="38">
      <c r="A38" t="str">
        <v>A3522792081055458809</v>
      </c>
      <c r="B38" t="str">
        <v>LafargeHolcim - Kenya</v>
      </c>
      <c r="C38" t="str">
        <v>A1917021010125813150</v>
      </c>
      <c r="D38" t="str">
        <v>Controltech - OML Africa Logistics limited</v>
      </c>
      <c r="E38" t="str">
        <v>SiteGroup</v>
      </c>
      <c r="F38">
        <v>0</v>
      </c>
      <c r="G38">
        <v>0</v>
      </c>
      <c r="H38" t="str">
        <v>OML Africa Logistics limited</v>
      </c>
    </row>
    <row r="39">
      <c r="A39" t="str">
        <v>A3522792081055458809</v>
      </c>
      <c r="B39" t="str">
        <v>LafargeHolcim - Kenya</v>
      </c>
      <c r="C39" t="str">
        <v>A8033675009784428669</v>
      </c>
      <c r="D39" t="str">
        <v>Controltech - Askomint Limited (BSP)</v>
      </c>
      <c r="E39" t="str">
        <v>SiteGroup</v>
      </c>
      <c r="F39">
        <v>0</v>
      </c>
      <c r="G39">
        <v>0</v>
      </c>
      <c r="H39" t="str">
        <v>Askomint Limited (BSP)</v>
      </c>
    </row>
    <row r="40">
      <c r="A40" t="str">
        <v>A3522792081055458809</v>
      </c>
      <c r="B40" t="str">
        <v>LafargeHolcim - Kenya</v>
      </c>
      <c r="C40" t="str">
        <v>A5019249178065673889</v>
      </c>
      <c r="D40" t="str">
        <v>Controltech - Crown Petroleum</v>
      </c>
      <c r="E40" t="str">
        <v>SiteGroup</v>
      </c>
      <c r="F40">
        <v>0</v>
      </c>
      <c r="G40">
        <v>0</v>
      </c>
      <c r="H40" t="str">
        <v>Crown Petroleum</v>
      </c>
    </row>
    <row r="41">
      <c r="A41" t="str">
        <v>A3522792081055458809</v>
      </c>
      <c r="B41" t="str">
        <v>LafargeHolcim - Kenya</v>
      </c>
      <c r="C41" t="str">
        <v>A3872581681506681526</v>
      </c>
      <c r="D41" t="str">
        <v>Controltech - Horizon Cargo</v>
      </c>
      <c r="E41" t="str">
        <v>SiteGroup</v>
      </c>
      <c r="F41">
        <v>0</v>
      </c>
      <c r="G41">
        <v>0</v>
      </c>
      <c r="H41" t="str">
        <v>Horizon Cargo</v>
      </c>
    </row>
    <row r="42">
      <c r="A42" t="str">
        <v>A3522792081055458809</v>
      </c>
      <c r="B42" t="str">
        <v>LafargeHolcim - Kenya</v>
      </c>
      <c r="C42" t="str">
        <v>A-280835750663141998</v>
      </c>
      <c r="D42" t="str">
        <v>Controltech - Namunyak (BSP)</v>
      </c>
      <c r="E42" t="str">
        <v>SiteGroup</v>
      </c>
      <c r="F42">
        <v>0</v>
      </c>
      <c r="G42">
        <v>0</v>
      </c>
      <c r="H42" t="str">
        <v>Namunyak (BSP)</v>
      </c>
    </row>
    <row r="43">
      <c r="A43" t="str">
        <v>A3522792081055458809</v>
      </c>
      <c r="B43" t="str">
        <v>LafargeHolcim - Kenya</v>
      </c>
      <c r="C43" t="str">
        <v>A-1190558972600389391</v>
      </c>
      <c r="D43" t="str">
        <v>Controltech - Bikash</v>
      </c>
      <c r="E43" t="str">
        <v>SiteGroup</v>
      </c>
      <c r="F43">
        <v>0</v>
      </c>
      <c r="G43">
        <v>0</v>
      </c>
      <c r="H43" t="str">
        <v>Bikash</v>
      </c>
    </row>
    <row r="44">
      <c r="A44" t="str">
        <v>A3522792081055458809</v>
      </c>
      <c r="B44" t="str">
        <v>LafargeHolcim - Kenya</v>
      </c>
      <c r="C44" t="str">
        <v>A4356998808864103281</v>
      </c>
      <c r="D44" t="str">
        <v>Controltech - Arabian Transport</v>
      </c>
      <c r="E44" t="str">
        <v>SiteGroup</v>
      </c>
      <c r="F44">
        <v>0</v>
      </c>
      <c r="G44">
        <v>0</v>
      </c>
      <c r="H44" t="str">
        <v>Arabian Transport</v>
      </c>
    </row>
    <row r="45">
      <c r="A45" t="str">
        <v>A3522792081055458809</v>
      </c>
      <c r="B45" t="str">
        <v>LafargeHolcim - Kenya</v>
      </c>
      <c r="C45" t="str">
        <v>A1837064182578223114</v>
      </c>
      <c r="D45" t="str">
        <v>Controltech - AMM Engineering Works LTD</v>
      </c>
      <c r="E45" t="str">
        <v>SiteGroup</v>
      </c>
      <c r="F45">
        <v>0</v>
      </c>
      <c r="G45">
        <v>0</v>
      </c>
    </row>
    <row r="46">
      <c r="A46" t="str">
        <v>A3522792081055458809</v>
      </c>
      <c r="B46" t="str">
        <v>LafargeHolcim - Kenya</v>
      </c>
      <c r="C46" t="str">
        <v>A-7719266141860853665</v>
      </c>
      <c r="D46" t="str">
        <v>BCL Staff Vehicles</v>
      </c>
      <c r="E46" t="str">
        <v>SiteGroup</v>
      </c>
      <c r="F46">
        <v>0</v>
      </c>
      <c r="G46">
        <v>0</v>
      </c>
      <c r="H46" t="str">
        <v>BCL Staff Vehicles</v>
      </c>
    </row>
    <row r="47">
      <c r="A47" t="str">
        <v>A3522792081055458809</v>
      </c>
      <c r="B47" t="str">
        <v>LafargeHolcim - Kenya</v>
      </c>
      <c r="C47" t="str">
        <v>A4368792848961179040</v>
      </c>
      <c r="D47" t="str">
        <v>Controltech - Eldakk</v>
      </c>
      <c r="E47" t="str">
        <v>SiteGroup</v>
      </c>
      <c r="F47">
        <v>0</v>
      </c>
      <c r="G47">
        <v>0</v>
      </c>
      <c r="H47" t="str">
        <v>Eldakk</v>
      </c>
    </row>
    <row r="48">
      <c r="A48" t="str">
        <v>A3522792081055458809</v>
      </c>
      <c r="B48" t="str">
        <v>LafargeHolcim - Kenya</v>
      </c>
      <c r="C48" t="str">
        <v>A-7261633534522323211</v>
      </c>
      <c r="D48" t="str">
        <v>Controltech - Yellow Arrow</v>
      </c>
      <c r="E48" t="str">
        <v>SiteGroup</v>
      </c>
      <c r="F48">
        <v>0</v>
      </c>
      <c r="G48">
        <v>0</v>
      </c>
      <c r="H48" t="str">
        <v>Yellow Arrow</v>
      </c>
    </row>
    <row r="49">
      <c r="A49" t="str">
        <v>A3522792081055458809</v>
      </c>
      <c r="B49" t="str">
        <v>LafargeHolcim - Kenya</v>
      </c>
      <c r="C49" t="str">
        <v>A881967082886094155</v>
      </c>
      <c r="D49" t="str">
        <v>Controltech - Africa Rail Opportunities	non compliant</v>
      </c>
      <c r="E49" t="str">
        <v>SiteGroup</v>
      </c>
      <c r="F49">
        <v>0</v>
      </c>
      <c r="G49">
        <v>0</v>
      </c>
    </row>
    <row r="50">
      <c r="A50" t="str">
        <v>A3522792081055458809</v>
      </c>
      <c r="B50" t="str">
        <v>LafargeHolcim - Kenya</v>
      </c>
      <c r="C50" t="str">
        <v>A4019086130265684443</v>
      </c>
      <c r="D50" t="str">
        <v>Controltech - Africa Rail Opportunities</v>
      </c>
      <c r="E50" t="str">
        <v>SiteGroup</v>
      </c>
      <c r="F50">
        <v>0</v>
      </c>
      <c r="G50">
        <v>0</v>
      </c>
      <c r="H50" t="str">
        <v>Africa Rail Opportunities</v>
      </c>
    </row>
    <row r="51">
      <c r="A51" t="str">
        <v>A3522792081055458809</v>
      </c>
      <c r="B51" t="str">
        <v>LafargeHolcim - Kenya</v>
      </c>
      <c r="C51" t="str">
        <v>A8569533384050618156</v>
      </c>
      <c r="D51" t="str">
        <v>Controltech - AMM Engineering Works LTD - Non compliant</v>
      </c>
      <c r="E51" t="str">
        <v>SiteGroup</v>
      </c>
      <c r="F51">
        <v>0</v>
      </c>
      <c r="G51">
        <v>0</v>
      </c>
    </row>
    <row r="52">
      <c r="A52" t="str">
        <v>A3522792081055458809</v>
      </c>
      <c r="B52" t="str">
        <v>LafargeHolcim - Kenya</v>
      </c>
      <c r="C52" t="str">
        <v>A8866868914400240420</v>
      </c>
      <c r="D52" t="str">
        <v>Controltech - Anwarali Non compliant</v>
      </c>
      <c r="E52" t="str">
        <v>SiteGroup</v>
      </c>
      <c r="F52">
        <v>0</v>
      </c>
      <c r="G52">
        <v>0</v>
      </c>
      <c r="H52" t="str">
        <v>Anwarali</v>
      </c>
    </row>
    <row r="53">
      <c r="A53" t="str">
        <v>A3522792081055458809</v>
      </c>
      <c r="B53" t="str">
        <v>LafargeHolcim - Kenya</v>
      </c>
      <c r="C53" t="str">
        <v>A8002439710050126075</v>
      </c>
      <c r="D53" t="str">
        <v>Controltech - Arabian Transport	non compliant</v>
      </c>
      <c r="E53" t="str">
        <v>SiteGroup</v>
      </c>
      <c r="F53">
        <v>0</v>
      </c>
      <c r="G53">
        <v>0</v>
      </c>
      <c r="H53" t="str">
        <v>Arabian Transport</v>
      </c>
    </row>
    <row r="54">
      <c r="A54" t="str">
        <v>A3522792081055458809</v>
      </c>
      <c r="B54" t="str">
        <v>LafargeHolcim - Kenya</v>
      </c>
      <c r="C54" t="str">
        <v>A-1878447811278230372</v>
      </c>
      <c r="D54" t="str">
        <v>Controltech - Arabian Transport Ventures	non compliant</v>
      </c>
      <c r="E54" t="str">
        <v>SiteGroup</v>
      </c>
      <c r="F54">
        <v>0</v>
      </c>
      <c r="G54">
        <v>0</v>
      </c>
      <c r="H54" t="str">
        <v>Arabian Transport</v>
      </c>
    </row>
    <row r="55">
      <c r="A55" t="str">
        <v>A3522792081055458809</v>
      </c>
      <c r="B55" t="str">
        <v>LafargeHolcim - Kenya</v>
      </c>
      <c r="C55" t="str">
        <v>A-6607463547499131102</v>
      </c>
      <c r="D55" t="str">
        <v>Controltech - Askomint Limited (BSP) non compliant</v>
      </c>
      <c r="E55" t="str">
        <v>SiteGroup</v>
      </c>
      <c r="F55">
        <v>0</v>
      </c>
      <c r="G55">
        <v>0</v>
      </c>
    </row>
    <row r="56">
      <c r="A56" t="str">
        <v>A3522792081055458809</v>
      </c>
      <c r="B56" t="str">
        <v>LafargeHolcim - Kenya</v>
      </c>
      <c r="C56" t="str">
        <v>A-5464831981619595692</v>
      </c>
      <c r="D56" t="str">
        <v>Controltech - Astrum Limited (BSP)	non compliant</v>
      </c>
      <c r="E56" t="str">
        <v>SiteGroup</v>
      </c>
      <c r="F56">
        <v>0</v>
      </c>
      <c r="G56">
        <v>0</v>
      </c>
      <c r="H56" t="str">
        <v>Astrum Limited (BSP)</v>
      </c>
    </row>
    <row r="57">
      <c r="A57" t="str">
        <v>A3522792081055458809</v>
      </c>
      <c r="B57" t="str">
        <v>LafargeHolcim - Kenya</v>
      </c>
      <c r="C57" t="str">
        <v>A-2827741304890277561</v>
      </c>
      <c r="D57" t="str">
        <v>Controltech - Bemoney Investment	non compliant</v>
      </c>
      <c r="E57" t="str">
        <v>SiteGroup</v>
      </c>
      <c r="F57">
        <v>0</v>
      </c>
      <c r="G57">
        <v>0</v>
      </c>
      <c r="H57" t="str">
        <v>Bemoney Investment</v>
      </c>
    </row>
    <row r="58">
      <c r="A58" t="str">
        <v>A3522792081055458809</v>
      </c>
      <c r="B58" t="str">
        <v>LafargeHolcim - Kenya</v>
      </c>
      <c r="C58" t="str">
        <v>A-5002974394524595135</v>
      </c>
      <c r="D58" t="str">
        <v>Controltech - Bikash	non compliant</v>
      </c>
      <c r="E58" t="str">
        <v>SiteGroup</v>
      </c>
      <c r="F58">
        <v>0</v>
      </c>
      <c r="G58">
        <v>0</v>
      </c>
      <c r="H58" t="str">
        <v>Bikash</v>
      </c>
    </row>
    <row r="59">
      <c r="A59" t="str">
        <v>A3522792081055458809</v>
      </c>
      <c r="B59" t="str">
        <v>LafargeHolcim - Kenya</v>
      </c>
      <c r="C59" t="str">
        <v>A3573104804926921806</v>
      </c>
      <c r="D59" t="str">
        <v>Controltech - Brits Freighters	non compliant</v>
      </c>
      <c r="E59" t="str">
        <v>SiteGroup</v>
      </c>
      <c r="F59">
        <v>0</v>
      </c>
      <c r="G59">
        <v>0</v>
      </c>
      <c r="H59" t="str">
        <v>Brits Freighters</v>
      </c>
    </row>
    <row r="60">
      <c r="A60" t="str">
        <v>A3522792081055458809</v>
      </c>
      <c r="B60" t="str">
        <v>LafargeHolcim - Kenya</v>
      </c>
      <c r="C60" t="str">
        <v>A9158421252835265060</v>
      </c>
      <c r="D60" t="str">
        <v>Controltech - Country Farm	non compliant</v>
      </c>
      <c r="E60" t="str">
        <v>SiteGroup</v>
      </c>
      <c r="F60">
        <v>0</v>
      </c>
      <c r="G60">
        <v>0</v>
      </c>
      <c r="H60" t="str">
        <v>Country Farm</v>
      </c>
    </row>
    <row r="61">
      <c r="A61" t="str">
        <v>A3522792081055458809</v>
      </c>
      <c r="B61" t="str">
        <v>LafargeHolcim - Kenya</v>
      </c>
      <c r="C61" t="str">
        <v>A-4363744668498809810</v>
      </c>
      <c r="D61" t="str">
        <v>Controltech - Crown Petroleum	non compliant</v>
      </c>
      <c r="E61" t="str">
        <v>SiteGroup</v>
      </c>
      <c r="F61">
        <v>0</v>
      </c>
      <c r="G61">
        <v>0</v>
      </c>
      <c r="H61" t="str">
        <v>Crown Petroleum</v>
      </c>
    </row>
    <row r="62">
      <c r="A62" t="str">
        <v>A3522792081055458809</v>
      </c>
      <c r="B62" t="str">
        <v>LafargeHolcim - Kenya</v>
      </c>
      <c r="C62" t="str">
        <v>A3414146455376360031</v>
      </c>
      <c r="D62" t="str">
        <v>Controltech - Dakawou	non compliant</v>
      </c>
      <c r="E62" t="str">
        <v>SiteGroup</v>
      </c>
      <c r="F62">
        <v>0</v>
      </c>
      <c r="G62">
        <v>0</v>
      </c>
      <c r="H62" t="str">
        <v>Dakawou</v>
      </c>
      <c r="I62" t="str">
        <v>Dakawou</v>
      </c>
    </row>
    <row r="63">
      <c r="A63" t="str">
        <v>A3522792081055458809</v>
      </c>
      <c r="B63" t="str">
        <v>LafargeHolcim - Kenya</v>
      </c>
      <c r="C63" t="str">
        <v>A763072290507888049</v>
      </c>
      <c r="D63" t="str">
        <v>Controltech - Derdols Tech Services	non compliant</v>
      </c>
      <c r="E63" t="str">
        <v>SiteGroup</v>
      </c>
      <c r="F63">
        <v>0</v>
      </c>
      <c r="G63">
        <v>0</v>
      </c>
      <c r="H63" t="str">
        <v>Derdols Tech Services</v>
      </c>
    </row>
    <row r="64">
      <c r="A64" t="str">
        <v>A3522792081055458809</v>
      </c>
      <c r="B64" t="str">
        <v>LafargeHolcim - Kenya</v>
      </c>
      <c r="C64" t="str">
        <v>A7287060236613177139</v>
      </c>
      <c r="D64" t="str">
        <v>Controltech - Eldakk non compliant</v>
      </c>
      <c r="E64" t="str">
        <v>SiteGroup</v>
      </c>
      <c r="F64">
        <v>0</v>
      </c>
      <c r="G64">
        <v>0</v>
      </c>
      <c r="H64" t="str">
        <v>Eldakk</v>
      </c>
    </row>
    <row r="65">
      <c r="A65" t="str">
        <v>A3522792081055458809</v>
      </c>
      <c r="B65" t="str">
        <v>LafargeHolcim - Kenya</v>
      </c>
      <c r="C65" t="str">
        <v>A-8402011632741677537</v>
      </c>
      <c r="D65" t="str">
        <v>Controltech - Epanko (BSP)	non compliant</v>
      </c>
      <c r="E65" t="str">
        <v>SiteGroup</v>
      </c>
      <c r="F65">
        <v>0</v>
      </c>
      <c r="G65">
        <v>0</v>
      </c>
    </row>
    <row r="66">
      <c r="A66" t="str">
        <v>A3522792081055458809</v>
      </c>
      <c r="B66" t="str">
        <v>LafargeHolcim - Kenya</v>
      </c>
      <c r="C66" t="str">
        <v>A4698986404448166013</v>
      </c>
      <c r="D66" t="str">
        <v>Controltech - Fazluna Enterprises	non compliant</v>
      </c>
      <c r="E66" t="str">
        <v>SiteGroup</v>
      </c>
      <c r="F66">
        <v>0</v>
      </c>
      <c r="G66">
        <v>0</v>
      </c>
      <c r="H66" t="str">
        <v>Fazluna Enterprises</v>
      </c>
    </row>
    <row r="67">
      <c r="A67" t="str">
        <v>A3522792081055458809</v>
      </c>
      <c r="B67" t="str">
        <v>LafargeHolcim - Kenya</v>
      </c>
      <c r="C67" t="str">
        <v>A1491186873404587568</v>
      </c>
      <c r="D67" t="str">
        <v>Controltech - GrandSubterra	non compliant</v>
      </c>
      <c r="E67" t="str">
        <v>SiteGroup</v>
      </c>
      <c r="F67">
        <v>0</v>
      </c>
      <c r="G67">
        <v>0</v>
      </c>
      <c r="H67" t="str">
        <v>GrandSubterra</v>
      </c>
    </row>
    <row r="68">
      <c r="A68" t="str">
        <v>A3522792081055458809</v>
      </c>
      <c r="B68" t="str">
        <v>LafargeHolcim - Kenya</v>
      </c>
      <c r="C68" t="str">
        <v>A7949463592202237864</v>
      </c>
      <c r="D68" t="str">
        <v>Controltech - Hacienda	non compliant</v>
      </c>
      <c r="E68" t="str">
        <v>SiteGroup</v>
      </c>
      <c r="F68">
        <v>0</v>
      </c>
      <c r="G68">
        <v>0</v>
      </c>
      <c r="H68" t="str">
        <v>Hacienda</v>
      </c>
    </row>
    <row r="69">
      <c r="A69" t="str">
        <v>A3522792081055458809</v>
      </c>
      <c r="B69" t="str">
        <v>LafargeHolcim - Kenya</v>
      </c>
      <c r="C69" t="str">
        <v>A1595984196963345075</v>
      </c>
      <c r="D69" t="str">
        <v>Controltech - Jopeed (BSP)	non compliant</v>
      </c>
      <c r="E69" t="str">
        <v>SiteGroup</v>
      </c>
      <c r="F69">
        <v>0</v>
      </c>
      <c r="G69">
        <v>0</v>
      </c>
      <c r="H69" t="str">
        <v>Jopeed (BSP)</v>
      </c>
    </row>
    <row r="70">
      <c r="A70" t="str">
        <v>A3522792081055458809</v>
      </c>
      <c r="B70" t="str">
        <v>LafargeHolcim - Kenya</v>
      </c>
      <c r="C70" t="str">
        <v>A2236987118028204336</v>
      </c>
      <c r="D70" t="str">
        <v>Controltech - Lex (BSP)	non compliant</v>
      </c>
      <c r="E70" t="str">
        <v>SiteGroup</v>
      </c>
      <c r="F70">
        <v>0</v>
      </c>
      <c r="G70">
        <v>0</v>
      </c>
      <c r="H70" t="str">
        <v>Lex (BSP)</v>
      </c>
    </row>
    <row r="71">
      <c r="A71" t="str">
        <v>A3522792081055458809</v>
      </c>
      <c r="B71" t="str">
        <v>LafargeHolcim - Kenya</v>
      </c>
      <c r="C71" t="str">
        <v>A-3344885547626470955</v>
      </c>
      <c r="D71" t="str">
        <v>Controltech - Malawanza	non compliant</v>
      </c>
      <c r="E71" t="str">
        <v>SiteGroup</v>
      </c>
      <c r="F71">
        <v>0</v>
      </c>
      <c r="G71">
        <v>0</v>
      </c>
      <c r="H71" t="str">
        <v>Malawanza</v>
      </c>
    </row>
    <row r="72">
      <c r="A72" t="str">
        <v>A3522792081055458809</v>
      </c>
      <c r="B72" t="str">
        <v>LafargeHolcim - Kenya</v>
      </c>
      <c r="C72" t="str">
        <v>A-7573585694885715483</v>
      </c>
      <c r="D72" t="str">
        <v>Controltech - Manara	non compliant</v>
      </c>
      <c r="E72" t="str">
        <v>SiteGroup</v>
      </c>
      <c r="F72">
        <v>0</v>
      </c>
      <c r="G72">
        <v>0</v>
      </c>
      <c r="H72" t="str">
        <v>Manara</v>
      </c>
      <c r="I72" t="str">
        <v>Manara</v>
      </c>
    </row>
    <row r="73">
      <c r="A73" t="str">
        <v>A3522792081055458809</v>
      </c>
      <c r="B73" t="str">
        <v>LafargeHolcim - Kenya</v>
      </c>
      <c r="C73" t="str">
        <v>A-6596099353318321704</v>
      </c>
      <c r="D73" t="str">
        <v>Controltech - Mbatia Investments	non compliant</v>
      </c>
      <c r="E73" t="str">
        <v>SiteGroup</v>
      </c>
      <c r="F73">
        <v>0</v>
      </c>
      <c r="G73">
        <v>0</v>
      </c>
      <c r="H73" t="str">
        <v>Mbatia Investments</v>
      </c>
    </row>
    <row r="74">
      <c r="A74" t="str">
        <v>A3522792081055458809</v>
      </c>
      <c r="B74" t="str">
        <v>LafargeHolcim - Kenya</v>
      </c>
      <c r="C74" t="str">
        <v>A2684496877249175024</v>
      </c>
      <c r="D74" t="str">
        <v>Controltech - Namunyak (BSP)	non compliant</v>
      </c>
      <c r="E74" t="str">
        <v>SiteGroup</v>
      </c>
      <c r="F74">
        <v>0</v>
      </c>
      <c r="G74">
        <v>0</v>
      </c>
      <c r="H74" t="str">
        <v>Namunyak (BSP)</v>
      </c>
    </row>
    <row r="75">
      <c r="A75" t="str">
        <v>A3522792081055458809</v>
      </c>
      <c r="B75" t="str">
        <v>LafargeHolcim - Kenya</v>
      </c>
      <c r="C75" t="str">
        <v>A9202640084816739865</v>
      </c>
      <c r="D75" t="str">
        <v>Controltech - OML Africa Logistics limited non compliant</v>
      </c>
      <c r="E75" t="str">
        <v>SiteGroup</v>
      </c>
      <c r="F75">
        <v>0</v>
      </c>
      <c r="G75">
        <v>0</v>
      </c>
    </row>
    <row r="76">
      <c r="A76" t="str">
        <v>A3522792081055458809</v>
      </c>
      <c r="B76" t="str">
        <v>LafargeHolcim - Kenya</v>
      </c>
      <c r="C76" t="str">
        <v>A-5415173664765694735</v>
      </c>
      <c r="D76" t="str">
        <v>Controltech - Ponty Pridd	non compliant</v>
      </c>
      <c r="E76" t="str">
        <v>SiteGroup</v>
      </c>
      <c r="F76">
        <v>0</v>
      </c>
      <c r="G76">
        <v>0</v>
      </c>
      <c r="H76" t="str">
        <v>Ponty Pridd</v>
      </c>
    </row>
    <row r="77">
      <c r="A77" t="str">
        <v>A3522792081055458809</v>
      </c>
      <c r="B77" t="str">
        <v>LafargeHolcim - Kenya</v>
      </c>
      <c r="C77" t="str">
        <v>A1641071822982897839</v>
      </c>
      <c r="D77" t="str">
        <v>Controltech - Roy Hauliers	non compliant</v>
      </c>
      <c r="E77" t="str">
        <v>SiteGroup</v>
      </c>
      <c r="F77">
        <v>0</v>
      </c>
      <c r="G77">
        <v>0</v>
      </c>
      <c r="H77" t="str">
        <v>Roy Hauliers - Lafarge</v>
      </c>
    </row>
    <row r="78">
      <c r="A78" t="str">
        <v>A3522792081055458809</v>
      </c>
      <c r="B78" t="str">
        <v>LafargeHolcim - Kenya</v>
      </c>
      <c r="C78" t="str">
        <v>A-2855238226231396804</v>
      </c>
      <c r="D78" t="str">
        <v>Controltech - Sharlykon Investment	non compliant</v>
      </c>
      <c r="E78" t="str">
        <v>SiteGroup</v>
      </c>
      <c r="F78">
        <v>0</v>
      </c>
      <c r="G78">
        <v>0</v>
      </c>
      <c r="H78" t="str">
        <v>Sharlycon Invesment</v>
      </c>
    </row>
    <row r="79">
      <c r="A79" t="str">
        <v>A3522792081055458809</v>
      </c>
      <c r="B79" t="str">
        <v>LafargeHolcim - Kenya</v>
      </c>
      <c r="C79" t="str">
        <v>A-3598375828270048901</v>
      </c>
      <c r="D79" t="str">
        <v>Controltech - Traillink	non compliant</v>
      </c>
      <c r="E79" t="str">
        <v>SiteGroup</v>
      </c>
      <c r="F79">
        <v>0</v>
      </c>
      <c r="G79">
        <v>0</v>
      </c>
    </row>
    <row r="80">
      <c r="A80" t="str">
        <v>A3522792081055458809</v>
      </c>
      <c r="B80" t="str">
        <v>LafargeHolcim - Kenya</v>
      </c>
      <c r="C80" t="str">
        <v>A-1673146143601044929</v>
      </c>
      <c r="D80" t="str">
        <v>Controltech - Yellow Arrow	non compliant</v>
      </c>
      <c r="E80" t="str">
        <v>SiteGroup</v>
      </c>
      <c r="F80">
        <v>0</v>
      </c>
      <c r="G80">
        <v>0</v>
      </c>
      <c r="H80" t="str">
        <v>Yellow Arrow</v>
      </c>
    </row>
    <row r="81">
      <c r="A81" t="str">
        <v>A3522792081055458809</v>
      </c>
      <c r="B81" t="str">
        <v>LafargeHolcim - Kenya</v>
      </c>
      <c r="C81" t="str">
        <v>A4218244413669894904</v>
      </c>
      <c r="D81" t="str">
        <v>Controltech - Palemtu Limited	non compliant</v>
      </c>
      <c r="E81" t="str">
        <v>SiteGroup</v>
      </c>
      <c r="F81">
        <v>0</v>
      </c>
      <c r="G81">
        <v>0</v>
      </c>
      <c r="H81" t="str">
        <v>Palemtu Limited</v>
      </c>
    </row>
    <row r="82">
      <c r="A82" t="str">
        <v>A3522792081055458809</v>
      </c>
      <c r="B82" t="str">
        <v>LafargeHolcim - Kenya</v>
      </c>
      <c r="C82" t="str">
        <v>A-4302180993379456669</v>
      </c>
      <c r="D82" t="str">
        <v>test units</v>
      </c>
      <c r="E82" t="str">
        <v>SiteGroup</v>
      </c>
      <c r="F82">
        <v>0</v>
      </c>
      <c r="G82">
        <v>0</v>
      </c>
      <c r="H82" t="str">
        <v>Lafarge test units</v>
      </c>
    </row>
    <row r="83">
      <c r="A83" t="str">
        <v>A3522792081055458809</v>
      </c>
      <c r="B83" t="str">
        <v>LafargeHolcim - Kenya</v>
      </c>
      <c r="C83" t="str">
        <v>A-6690737074320202197</v>
      </c>
      <c r="D83" t="str">
        <v>Controltech - Roy Hauliers -Cimerwa</v>
      </c>
      <c r="E83" t="str">
        <v>SiteGroup</v>
      </c>
      <c r="F83">
        <v>0</v>
      </c>
      <c r="G83">
        <v>0</v>
      </c>
      <c r="H83" t="str">
        <v>Roy Hauliers - Lafarge</v>
      </c>
    </row>
    <row r="84">
      <c r="A84" t="str">
        <v>A3522792081055458809</v>
      </c>
      <c r="B84" t="str">
        <v>LafargeHolcim - Kenya</v>
      </c>
      <c r="C84" t="str">
        <v>A1086065933372284583</v>
      </c>
      <c r="D84" t="str">
        <v>Controltech - Roy Hauliers - Kyoga</v>
      </c>
      <c r="E84" t="str">
        <v>SiteGroup</v>
      </c>
      <c r="F84">
        <v>0</v>
      </c>
      <c r="G84">
        <v>0</v>
      </c>
      <c r="H84" t="str">
        <v>Roy Hauliers - Lafarge</v>
      </c>
    </row>
    <row r="85">
      <c r="A85" t="str">
        <v>A3522792081055458809</v>
      </c>
      <c r="B85" t="str">
        <v>LafargeHolcim - Kenya</v>
      </c>
      <c r="C85" t="str">
        <v>A4713234640918835339</v>
      </c>
      <c r="D85" t="str">
        <v>Controltech - AMM - Forte Rapida</v>
      </c>
      <c r="E85" t="str">
        <v>SiteGroup</v>
      </c>
      <c r="F85">
        <v>0</v>
      </c>
      <c r="G85">
        <v>0</v>
      </c>
    </row>
    <row r="86">
      <c r="A86" t="str">
        <v>A3522792081055458809</v>
      </c>
      <c r="B86" t="str">
        <v>LafargeHolcim - Kenya</v>
      </c>
      <c r="C86" t="str">
        <v>A391985851929821557</v>
      </c>
      <c r="D86" t="str">
        <v>Controltech  - Roy Transmotors - Non Compliant</v>
      </c>
      <c r="E86" t="str">
        <v>SiteGroup</v>
      </c>
      <c r="F86">
        <v>0</v>
      </c>
      <c r="G86">
        <v>0</v>
      </c>
      <c r="H86" t="str">
        <v>Roy Transmotors</v>
      </c>
    </row>
    <row r="87">
      <c r="A87" t="str">
        <v>A3522792081055458809</v>
      </c>
      <c r="B87" t="str">
        <v>LafargeHolcim - Kenya</v>
      </c>
      <c r="C87" t="str">
        <v>A5102789919693946176</v>
      </c>
      <c r="D87" t="str">
        <v>Controltech - Siginon Group</v>
      </c>
      <c r="E87" t="str">
        <v>SiteGroup</v>
      </c>
      <c r="F87">
        <v>0</v>
      </c>
      <c r="G87">
        <v>0</v>
      </c>
      <c r="H87" t="str">
        <v>Siginon Group</v>
      </c>
    </row>
    <row r="88">
      <c r="A88" t="str">
        <v>A3522792081055458809</v>
      </c>
      <c r="B88" t="str">
        <v>LafargeHolcim - Kenya</v>
      </c>
      <c r="C88" t="str">
        <v>A-8203803049440936648</v>
      </c>
      <c r="D88" t="str">
        <v>Controltech - Roy Hauliers - Reji Congo</v>
      </c>
      <c r="E88" t="str">
        <v>SiteGroup</v>
      </c>
      <c r="F88">
        <v>0</v>
      </c>
      <c r="G88">
        <v>0</v>
      </c>
      <c r="H88" t="str">
        <v>Roy Hauliers - Lafarge</v>
      </c>
    </row>
    <row r="89">
      <c r="A89" t="str">
        <v>A3522792081055458809</v>
      </c>
      <c r="B89" t="str">
        <v>LafargeHolcim - Kenya</v>
      </c>
      <c r="C89" t="str">
        <v>A8825767660231377684</v>
      </c>
      <c r="D89" t="str">
        <v>Controltech - Roy Hauliers - Globistics</v>
      </c>
      <c r="E89" t="str">
        <v>SiteGroup</v>
      </c>
      <c r="F89">
        <v>0</v>
      </c>
      <c r="G89">
        <v>0</v>
      </c>
      <c r="H89" t="str">
        <v>Roy Hauliers - Lafarge</v>
      </c>
    </row>
    <row r="90">
      <c r="A90" t="str">
        <v>A3522792081055458809</v>
      </c>
      <c r="B90" t="str">
        <v>LafargeHolcim - Kenya</v>
      </c>
      <c r="C90" t="str">
        <v>A-6130008763920373795</v>
      </c>
      <c r="D90" t="str">
        <v>Controltech - OML Three Ways</v>
      </c>
      <c r="E90" t="str">
        <v>SiteGroup</v>
      </c>
      <c r="F90">
        <v>0</v>
      </c>
      <c r="G90">
        <v>0</v>
      </c>
    </row>
    <row r="91">
      <c r="A91" t="str">
        <v>A3522792081055458809</v>
      </c>
      <c r="B91" t="str">
        <v>LafargeHolcim - Kenya</v>
      </c>
      <c r="C91" t="str">
        <v>A344018530301425056</v>
      </c>
      <c r="D91" t="str">
        <v>Controltech - OML DHL</v>
      </c>
      <c r="E91" t="str">
        <v>SiteGroup</v>
      </c>
      <c r="F91">
        <v>0</v>
      </c>
      <c r="G91">
        <v>0</v>
      </c>
      <c r="H91" t="str">
        <v>OML DHL</v>
      </c>
    </row>
    <row r="92">
      <c r="A92" t="str">
        <v>A3522792081055458809</v>
      </c>
      <c r="B92" t="str">
        <v>LafargeHolcim - Kenya</v>
      </c>
      <c r="C92" t="str">
        <v>A-6179416080357619569</v>
      </c>
      <c r="D92" t="str">
        <v>Controltech - Roqitt</v>
      </c>
      <c r="E92" t="str">
        <v>SiteGroup</v>
      </c>
      <c r="F92">
        <v>0</v>
      </c>
      <c r="G92">
        <v>0</v>
      </c>
      <c r="H92" t="str">
        <v>Roqitt</v>
      </c>
    </row>
    <row r="93">
      <c r="A93" t="str">
        <v>A3522792081055458809</v>
      </c>
      <c r="B93" t="str">
        <v>LafargeHolcim - Kenya</v>
      </c>
      <c r="C93" t="str">
        <v>A-2143159696438434959</v>
      </c>
      <c r="D93" t="str">
        <v>Controltech - Multiple Hauliers</v>
      </c>
      <c r="E93" t="str">
        <v>SiteGroup</v>
      </c>
      <c r="F93">
        <v>0</v>
      </c>
      <c r="G93">
        <v>0</v>
      </c>
      <c r="H93" t="str">
        <v>Multiple Hauliers</v>
      </c>
    </row>
  </sheetData>
  <autoFilter ref="A1:H93"/>
  <pageMargins left="0.7" right="0.7" top="0.75" bottom="0.75" header="0.3" footer="0.3"/>
  <ignoredErrors>
    <ignoredError numberStoredAsText="1" sqref="A1:I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34"/>
  <sheetViews>
    <sheetView workbookViewId="0" rightToLeft="0"/>
  </sheetViews>
  <sheetData>
    <row r="1">
      <c r="A1" t="str">
        <v>EventTypeId</v>
      </c>
      <c r="B1" t="str">
        <v>EventType</v>
      </c>
      <c r="C1" t="str">
        <v>Description</v>
      </c>
      <c r="D1" t="str">
        <v>EventRename</v>
      </c>
      <c r="E1" t="str">
        <v>in prev</v>
      </c>
      <c r="F1" t="str">
        <v>ValueName</v>
      </c>
      <c r="G1" t="str">
        <v>FormatType</v>
      </c>
      <c r="H1" t="str">
        <v>DisplayUnits</v>
      </c>
      <c r="I1" t="str">
        <v>GroupId</v>
      </c>
      <c r="J1" t="str">
        <v>GroupName</v>
      </c>
      <c r="K1" t="str">
        <v>GroupType</v>
      </c>
      <c r="L1" t="str">
        <v>DisplayTimeZone</v>
      </c>
      <c r="M1" t="str">
        <v>process</v>
      </c>
    </row>
    <row r="2">
      <c r="A2" t="str">
        <v>A-6577918909540725685</v>
      </c>
      <c r="B2" t="str">
        <v>Hidden</v>
      </c>
      <c r="C2" t="str">
        <v>SMS: Near daily limit</v>
      </c>
      <c r="D2" t="str">
        <v>SMS: Near daily limit</v>
      </c>
      <c r="E2" t="e">
        <f>VLOOKUP(C:C,Sheet1!A:A,1,0)</f>
        <v>#N/A</v>
      </c>
      <c r="I2" t="str">
        <v>A3522792081055458809</v>
      </c>
      <c r="J2" t="str">
        <v>LafargeHolcim - Kenya</v>
      </c>
      <c r="K2" t="str">
        <v>OrganisationGroup</v>
      </c>
      <c r="L2" t="str">
        <v>E. Africa Standard Time</v>
      </c>
      <c r="M2">
        <v>0</v>
      </c>
    </row>
    <row r="3">
      <c r="A3" t="str">
        <v>A-593681484296749964</v>
      </c>
      <c r="B3" t="str">
        <v>Hidden</v>
      </c>
      <c r="C3" t="str">
        <v>SMS: Daily limit reached</v>
      </c>
      <c r="D3" t="str">
        <v>SMS: Daily limit reached</v>
      </c>
      <c r="E3" t="e">
        <f>VLOOKUP(C:C,Sheet1!A:A,1,0)</f>
        <v>#N/A</v>
      </c>
      <c r="I3" t="str">
        <v>A3522792081055458809</v>
      </c>
      <c r="J3" t="str">
        <v>LafargeHolcim - Kenya</v>
      </c>
      <c r="K3" t="str">
        <v>OrganisationGroup</v>
      </c>
      <c r="L3" t="str">
        <v>E. Africa Standard Time</v>
      </c>
      <c r="M3">
        <v>0</v>
      </c>
    </row>
    <row r="4">
      <c r="A4" t="str">
        <v>A-503899021474982347</v>
      </c>
      <c r="B4" t="str">
        <v>Hidden</v>
      </c>
      <c r="C4" t="str">
        <v>COMMS: Terminal Event Download Request</v>
      </c>
      <c r="D4" t="str">
        <v>COMMS: Terminal Event Download Request</v>
      </c>
      <c r="E4" t="e">
        <f>VLOOKUP(C:C,Sheet1!A:A,1,0)</f>
        <v>#N/A</v>
      </c>
      <c r="I4" t="str">
        <v>A3522792081055458809</v>
      </c>
      <c r="J4" t="str">
        <v>LafargeHolcim - Kenya</v>
      </c>
      <c r="K4" t="str">
        <v>OrganisationGroup</v>
      </c>
      <c r="L4" t="str">
        <v>E. Africa Standard Time</v>
      </c>
      <c r="M4">
        <v>0</v>
      </c>
    </row>
    <row r="5">
      <c r="A5" t="str">
        <v>A7749185914194201772</v>
      </c>
      <c r="B5" t="str">
        <v>Hidden</v>
      </c>
      <c r="C5" t="str">
        <v>COMMS: BOT Download</v>
      </c>
      <c r="D5" t="str">
        <v>COMMS: BOT Download</v>
      </c>
      <c r="E5" t="e">
        <f>VLOOKUP(C:C,Sheet1!A:A,1,0)</f>
        <v>#N/A</v>
      </c>
      <c r="I5" t="str">
        <v>A3522792081055458809</v>
      </c>
      <c r="J5" t="str">
        <v>LafargeHolcim - Kenya</v>
      </c>
      <c r="K5" t="str">
        <v>OrganisationGroup</v>
      </c>
      <c r="L5" t="str">
        <v>E. Africa Standard Time</v>
      </c>
      <c r="M5">
        <v>0</v>
      </c>
    </row>
    <row r="6">
      <c r="A6" t="str">
        <v>A8811449913201493072</v>
      </c>
      <c r="B6" t="str">
        <v>Hidden</v>
      </c>
      <c r="C6" t="str">
        <v>COMMS: EOT Download</v>
      </c>
      <c r="D6" t="str">
        <v>COMMS: EOT Download</v>
      </c>
      <c r="E6" t="e">
        <f>VLOOKUP(C:C,Sheet1!A:A,1,0)</f>
        <v>#N/A</v>
      </c>
      <c r="I6" t="str">
        <v>A3522792081055458809</v>
      </c>
      <c r="J6" t="str">
        <v>LafargeHolcim - Kenya</v>
      </c>
      <c r="K6" t="str">
        <v>OrganisationGroup</v>
      </c>
      <c r="L6" t="str">
        <v>E. Africa Standard Time</v>
      </c>
      <c r="M6">
        <v>0</v>
      </c>
    </row>
    <row r="7">
      <c r="A7" t="str">
        <v>A-5885026884290222700</v>
      </c>
      <c r="B7" t="str">
        <v>Hidden</v>
      </c>
      <c r="C7" t="str">
        <v>End of trip call back request</v>
      </c>
      <c r="D7" t="str">
        <v>End of trip call back request</v>
      </c>
      <c r="E7" t="e">
        <f>VLOOKUP(C:C,Sheet1!A:A,1,0)</f>
        <v>#N/A</v>
      </c>
      <c r="I7" t="str">
        <v>A3522792081055458809</v>
      </c>
      <c r="J7" t="str">
        <v>LafargeHolcim - Kenya</v>
      </c>
      <c r="K7" t="str">
        <v>OrganisationGroup</v>
      </c>
      <c r="L7" t="str">
        <v>E. Africa Standard Time</v>
      </c>
      <c r="M7">
        <v>0</v>
      </c>
    </row>
    <row r="8">
      <c r="A8" t="str">
        <v>A8515032094046493680</v>
      </c>
      <c r="B8" t="str">
        <v>Hidden</v>
      </c>
      <c r="C8" t="str">
        <v>Unmatched Extended Driver ID</v>
      </c>
      <c r="D8" t="str">
        <v>Unmatched Extended Driver ID</v>
      </c>
      <c r="E8" t="e">
        <f>VLOOKUP(C:C,Sheet1!A:A,1,0)</f>
        <v>#N/A</v>
      </c>
      <c r="I8" t="str">
        <v>A3522792081055458809</v>
      </c>
      <c r="J8" t="str">
        <v>LafargeHolcim - Kenya</v>
      </c>
      <c r="K8" t="str">
        <v>OrganisationGroup</v>
      </c>
      <c r="L8" t="str">
        <v>E. Africa Standard Time</v>
      </c>
      <c r="M8">
        <v>0</v>
      </c>
    </row>
    <row r="9">
      <c r="A9" t="str">
        <v>A7337193410206946216</v>
      </c>
      <c r="B9" t="str">
        <v>Default</v>
      </c>
      <c r="C9" t="str">
        <v>Passenger IDed</v>
      </c>
      <c r="D9" t="str">
        <v>Passenger IDed</v>
      </c>
      <c r="E9" t="e">
        <f>VLOOKUP(C:C,Sheet1!A:A,1,0)</f>
        <v>#N/A</v>
      </c>
      <c r="I9" t="str">
        <v>A3522792081055458809</v>
      </c>
      <c r="J9" t="str">
        <v>LafargeHolcim - Kenya</v>
      </c>
      <c r="K9" t="str">
        <v>OrganisationGroup</v>
      </c>
      <c r="L9" t="str">
        <v>E. Africa Standard Time</v>
      </c>
      <c r="M9">
        <v>0</v>
      </c>
    </row>
    <row r="10">
      <c r="A10" t="str">
        <v>A3721662412265158836</v>
      </c>
      <c r="B10" t="str">
        <v>Custom</v>
      </c>
      <c r="C10" t="str">
        <v>Driver Identified Not Moving</v>
      </c>
      <c r="D10" t="str">
        <v>Driver Identified Not Moving</v>
      </c>
      <c r="E10" t="e">
        <f>VLOOKUP(C:C,Sheet1!A:A,1,0)</f>
        <v>#N/A</v>
      </c>
      <c r="F10" t="str">
        <v>Road speed</v>
      </c>
      <c r="G10" t="str">
        <v>Speed</v>
      </c>
      <c r="H10" t="str">
        <v>km/h</v>
      </c>
      <c r="I10" t="str">
        <v>A3522792081055458809</v>
      </c>
      <c r="J10" t="str">
        <v>LafargeHolcim - Kenya</v>
      </c>
      <c r="K10" t="str">
        <v>OrganisationGroup</v>
      </c>
      <c r="L10" t="str">
        <v>E. Africa Standard Time</v>
      </c>
      <c r="M10">
        <v>0</v>
      </c>
    </row>
    <row r="11">
      <c r="A11" t="str">
        <v>A-1163017415439432573</v>
      </c>
      <c r="B11" t="str">
        <v>Custom</v>
      </c>
      <c r="C11" t="str">
        <v>FM Accelerator pedal position</v>
      </c>
      <c r="D11" t="str">
        <v>FM Accelerator pedal position</v>
      </c>
      <c r="E11" t="e">
        <f>VLOOKUP(C:C,Sheet1!A:A,1,0)</f>
        <v>#N/A</v>
      </c>
      <c r="F11" t="str">
        <v>FM Accelerator pedal position</v>
      </c>
      <c r="G11" t="str">
        <v>Value</v>
      </c>
      <c r="H11" t="str">
        <v>%</v>
      </c>
      <c r="I11" t="str">
        <v>A3522792081055458809</v>
      </c>
      <c r="J11" t="str">
        <v>LafargeHolcim - Kenya</v>
      </c>
      <c r="K11" t="str">
        <v>OrganisationGroup</v>
      </c>
      <c r="L11" t="str">
        <v>E. Africa Standard Time</v>
      </c>
      <c r="M11">
        <v>0</v>
      </c>
    </row>
    <row r="12">
      <c r="A12" t="str">
        <v>A-8064557766103744081</v>
      </c>
      <c r="B12" t="str">
        <v>Custom</v>
      </c>
      <c r="C12" t="str">
        <v>Overspeeding at 75km/hr Buzzer</v>
      </c>
      <c r="D12" t="str">
        <v>Overspeeding at 75km/hr Buzzer</v>
      </c>
      <c r="E12" t="e">
        <f>VLOOKUP(C:C,Sheet1!A:A,1,0)</f>
        <v>#N/A</v>
      </c>
      <c r="F12" t="str">
        <v>Road speed</v>
      </c>
      <c r="G12" t="str">
        <v>Speed</v>
      </c>
      <c r="H12" t="str">
        <v>km/h</v>
      </c>
      <c r="I12" t="str">
        <v>A3522792081055458809</v>
      </c>
      <c r="J12" t="str">
        <v>LafargeHolcim - Kenya</v>
      </c>
      <c r="K12" t="str">
        <v>OrganisationGroup</v>
      </c>
      <c r="L12" t="str">
        <v>E. Africa Standard Time</v>
      </c>
      <c r="M12">
        <v>0</v>
      </c>
    </row>
    <row r="13">
      <c r="A13" t="str">
        <v>A-2467529333357724969</v>
      </c>
      <c r="B13" t="str">
        <v>Custom</v>
      </c>
      <c r="C13" t="str">
        <v>Idling at 700RPM</v>
      </c>
      <c r="D13" t="str">
        <v>Idling at 700RPM</v>
      </c>
      <c r="E13" t="e">
        <f>VLOOKUP(C:C,Sheet1!A:A,1,0)</f>
        <v>#N/A</v>
      </c>
      <c r="F13" t="str">
        <v>Time in mode</v>
      </c>
      <c r="G13" t="str">
        <v>Seconds</v>
      </c>
      <c r="H13" t="str">
        <v>seconds</v>
      </c>
      <c r="I13" t="str">
        <v>A3522792081055458809</v>
      </c>
      <c r="J13" t="str">
        <v>LafargeHolcim - Kenya</v>
      </c>
      <c r="K13" t="str">
        <v>OrganisationGroup</v>
      </c>
      <c r="L13" t="str">
        <v>E. Africa Standard Time</v>
      </c>
      <c r="M13">
        <v>0</v>
      </c>
    </row>
    <row r="14">
      <c r="A14" t="str">
        <v>A8207159988220242816</v>
      </c>
      <c r="B14" t="str">
        <v>Custom</v>
      </c>
      <c r="C14" t="str">
        <v>decom event</v>
      </c>
      <c r="D14" t="str">
        <v>decom event</v>
      </c>
      <c r="E14" t="e">
        <f>VLOOKUP(C:C,Sheet1!A:A,1,0)</f>
        <v>#N/A</v>
      </c>
      <c r="F14" t="str">
        <v>Engine RPM</v>
      </c>
      <c r="G14" t="str">
        <v>Value</v>
      </c>
      <c r="H14" t="str">
        <v>RPM</v>
      </c>
      <c r="I14" t="str">
        <v>A3522792081055458809</v>
      </c>
      <c r="J14" t="str">
        <v>LafargeHolcim - Kenya</v>
      </c>
      <c r="K14" t="str">
        <v>OrganisationGroup</v>
      </c>
      <c r="L14" t="str">
        <v>E. Africa Standard Time</v>
      </c>
      <c r="M14">
        <v>0</v>
      </c>
    </row>
    <row r="15">
      <c r="A15" t="str">
        <v>A-1863174657730739650</v>
      </c>
      <c r="B15" t="str">
        <v>Custom</v>
      </c>
      <c r="C15" t="str">
        <v>Speed Calibration Pulses</v>
      </c>
      <c r="D15" t="str">
        <v>Speed Calibration Pulses</v>
      </c>
      <c r="E15" t="e">
        <f>VLOOKUP(C:C,Sheet1!A:A,1,0)</f>
        <v>#N/A</v>
      </c>
      <c r="F15" t="str">
        <v>Speed calibration pulses</v>
      </c>
      <c r="G15" t="str">
        <v>Value</v>
      </c>
      <c r="I15" t="str">
        <v>A3522792081055458809</v>
      </c>
      <c r="J15" t="str">
        <v>LafargeHolcim - Kenya</v>
      </c>
      <c r="K15" t="str">
        <v>OrganisationGroup</v>
      </c>
      <c r="L15" t="str">
        <v>E. Africa Standard Time</v>
      </c>
      <c r="M15">
        <v>0</v>
      </c>
    </row>
    <row r="16">
      <c r="A16" t="str">
        <v>A3432494503425497785</v>
      </c>
      <c r="B16" t="str">
        <v>Custom</v>
      </c>
      <c r="C16" t="str">
        <v>OBC Ignition on</v>
      </c>
      <c r="D16" t="str">
        <v>OBC Ignition on</v>
      </c>
      <c r="E16" t="e">
        <f>VLOOKUP(C:C,Sheet1!A:A,1,0)</f>
        <v>#N/A</v>
      </c>
      <c r="F16" t="str">
        <v>Ignition Voltage</v>
      </c>
      <c r="G16" t="str">
        <v>Value</v>
      </c>
      <c r="H16" t="str">
        <v>mV</v>
      </c>
      <c r="I16" t="str">
        <v>A3522792081055458809</v>
      </c>
      <c r="J16" t="str">
        <v>LafargeHolcim - Kenya</v>
      </c>
      <c r="K16" t="str">
        <v>OrganisationGroup</v>
      </c>
      <c r="L16" t="str">
        <v>E. Africa Standard Time</v>
      </c>
      <c r="M16">
        <v>0</v>
      </c>
    </row>
    <row r="17">
      <c r="A17" t="str">
        <v>A-2397281316099473687</v>
      </c>
      <c r="B17" t="str">
        <v>Custom</v>
      </c>
      <c r="C17" t="str">
        <v>OBC Ignition off</v>
      </c>
      <c r="D17" t="str">
        <v>OBC Ignition off</v>
      </c>
      <c r="E17" t="e">
        <f>VLOOKUP(C:C,Sheet1!A:A,1,0)</f>
        <v>#N/A</v>
      </c>
      <c r="F17" t="str">
        <v>Ignition Voltage</v>
      </c>
      <c r="G17" t="str">
        <v>Value</v>
      </c>
      <c r="H17" t="str">
        <v>mV</v>
      </c>
      <c r="I17" t="str">
        <v>A3522792081055458809</v>
      </c>
      <c r="J17" t="str">
        <v>LafargeHolcim - Kenya</v>
      </c>
      <c r="K17" t="str">
        <v>OrganisationGroup</v>
      </c>
      <c r="L17" t="str">
        <v>E. Africa Standard Time</v>
      </c>
      <c r="M17">
        <v>0</v>
      </c>
    </row>
    <row r="18">
      <c r="A18" t="str">
        <v>A-8309003936911015756</v>
      </c>
      <c r="B18" t="str">
        <v>Custom</v>
      </c>
      <c r="C18" t="str">
        <v>Battery Voltage</v>
      </c>
      <c r="D18" t="str">
        <v>Battery Voltage</v>
      </c>
      <c r="E18" t="e">
        <f>VLOOKUP(C:C,Sheet1!A:A,1,0)</f>
        <v>#N/A</v>
      </c>
      <c r="F18" t="str">
        <v>Battery voltage</v>
      </c>
      <c r="G18" t="str">
        <v>Value</v>
      </c>
      <c r="H18" t="str">
        <v>mV</v>
      </c>
      <c r="I18" t="str">
        <v>A3522792081055458809</v>
      </c>
      <c r="J18" t="str">
        <v>LafargeHolcim - Kenya</v>
      </c>
      <c r="K18" t="str">
        <v>OrganisationGroup</v>
      </c>
      <c r="L18" t="str">
        <v>E. Africa Standard Time</v>
      </c>
      <c r="M18">
        <v>0</v>
      </c>
    </row>
    <row r="19">
      <c r="A19" t="str">
        <v>A4105067266650985963</v>
      </c>
      <c r="B19" t="str">
        <v>Custom</v>
      </c>
      <c r="C19" t="str">
        <v>DI: No RPM - possible freewheeling</v>
      </c>
      <c r="D19" t="str">
        <v>DI: No RPM - possible freewheeling</v>
      </c>
      <c r="E19" t="e">
        <f>VLOOKUP(C:C,Sheet1!A:A,1,0)</f>
        <v>#N/A</v>
      </c>
      <c r="F19" t="str">
        <v>Trip distance</v>
      </c>
      <c r="G19" t="str">
        <v>DistanceKilometers</v>
      </c>
      <c r="H19" t="str">
        <v>km</v>
      </c>
      <c r="I19" t="str">
        <v>A3522792081055458809</v>
      </c>
      <c r="J19" t="str">
        <v>LafargeHolcim - Kenya</v>
      </c>
      <c r="K19" t="str">
        <v>OrganisationGroup</v>
      </c>
      <c r="L19" t="str">
        <v>E. Africa Standard Time</v>
      </c>
      <c r="M19">
        <v>0</v>
      </c>
    </row>
    <row r="20">
      <c r="A20" t="str">
        <v>A-2394767314108108684</v>
      </c>
      <c r="B20" t="str">
        <v>Custom</v>
      </c>
      <c r="C20" t="str">
        <v>Starter interupt</v>
      </c>
      <c r="D20" t="str">
        <v>Starter interupt</v>
      </c>
      <c r="E20" t="e">
        <f>VLOOKUP(C:C,Sheet1!A:A,1,0)</f>
        <v>#N/A</v>
      </c>
      <c r="F20" t="str">
        <v>Organisation and driver from plug</v>
      </c>
      <c r="G20" t="str">
        <v>CombinedCompanyDriverId</v>
      </c>
      <c r="I20" t="str">
        <v>A3522792081055458809</v>
      </c>
      <c r="J20" t="str">
        <v>LafargeHolcim - Kenya</v>
      </c>
      <c r="K20" t="str">
        <v>OrganisationGroup</v>
      </c>
      <c r="L20" t="str">
        <v>E. Africa Standard Time</v>
      </c>
      <c r="M20">
        <v>0</v>
      </c>
    </row>
    <row r="21">
      <c r="A21" t="str">
        <v>A-8687544642142894356</v>
      </c>
      <c r="B21" t="str">
        <v>Custom</v>
      </c>
      <c r="C21" t="str">
        <v>idle - excessive 10 min</v>
      </c>
      <c r="D21" t="str">
        <v>idle - excessive 10 min</v>
      </c>
      <c r="E21" t="e">
        <f>VLOOKUP(C:C,Sheet1!A:A,1,0)</f>
        <v>#N/A</v>
      </c>
      <c r="F21" t="str">
        <v>Time in mode</v>
      </c>
      <c r="G21" t="str">
        <v>Seconds</v>
      </c>
      <c r="H21" t="str">
        <v>seconds</v>
      </c>
      <c r="I21" t="str">
        <v>A3522792081055458809</v>
      </c>
      <c r="J21" t="str">
        <v>LafargeHolcim - Kenya</v>
      </c>
      <c r="K21" t="str">
        <v>OrganisationGroup</v>
      </c>
      <c r="L21" t="str">
        <v>E. Africa Standard Time</v>
      </c>
      <c r="M21">
        <v>0</v>
      </c>
    </row>
    <row r="22">
      <c r="A22" t="str">
        <v>A5864353490803940270</v>
      </c>
      <c r="B22" t="str">
        <v>Custom</v>
      </c>
      <c r="C22" t="str">
        <v>Parking</v>
      </c>
      <c r="D22" t="str">
        <v>Parking</v>
      </c>
      <c r="E22" t="e">
        <f>VLOOKUP(C:C,Sheet1!A:A,1,0)</f>
        <v>#N/A</v>
      </c>
      <c r="F22" t="str">
        <v>Time in mode</v>
      </c>
      <c r="G22" t="str">
        <v>Seconds</v>
      </c>
      <c r="H22" t="str">
        <v>seconds</v>
      </c>
      <c r="I22" t="str">
        <v>A3522792081055458809</v>
      </c>
      <c r="J22" t="str">
        <v>LafargeHolcim - Kenya</v>
      </c>
      <c r="K22" t="str">
        <v>OrganisationGroup</v>
      </c>
      <c r="L22" t="str">
        <v>E. Africa Standard Time</v>
      </c>
      <c r="M22">
        <v>0</v>
      </c>
    </row>
    <row r="23">
      <c r="A23" t="str">
        <v>A-2566354176773705788</v>
      </c>
      <c r="B23" t="str">
        <v>Custom</v>
      </c>
      <c r="C23" t="str">
        <v>Stoppage</v>
      </c>
      <c r="D23" t="str">
        <v>Stoppage</v>
      </c>
      <c r="E23" t="e">
        <f>VLOOKUP(C:C,Sheet1!A:A,1,0)</f>
        <v>#N/A</v>
      </c>
      <c r="F23" t="str">
        <v>Time in mode</v>
      </c>
      <c r="G23" t="str">
        <v>Seconds</v>
      </c>
      <c r="H23" t="str">
        <v>seconds</v>
      </c>
      <c r="I23" t="str">
        <v>A3522792081055458809</v>
      </c>
      <c r="J23" t="str">
        <v>LafargeHolcim - Kenya</v>
      </c>
      <c r="K23" t="str">
        <v>OrganisationGroup</v>
      </c>
      <c r="L23" t="str">
        <v>E. Africa Standard Time</v>
      </c>
      <c r="M23">
        <v>0</v>
      </c>
    </row>
    <row r="24">
      <c r="A24" t="str">
        <v>A-8679508514622985955</v>
      </c>
      <c r="B24" t="str">
        <v>Custom</v>
      </c>
      <c r="C24" t="str">
        <v>RPM Calibration Pulses</v>
      </c>
      <c r="D24" t="str">
        <v>RPM Calibration Pulses</v>
      </c>
      <c r="E24" t="e">
        <f>VLOOKUP(C:C,Sheet1!A:A,1,0)</f>
        <v>#N/A</v>
      </c>
      <c r="F24" t="str">
        <v>RPM calibration pulses</v>
      </c>
      <c r="G24" t="str">
        <v>Value</v>
      </c>
      <c r="I24" t="str">
        <v>A3522792081055458809</v>
      </c>
      <c r="J24" t="str">
        <v>LafargeHolcim - Kenya</v>
      </c>
      <c r="K24" t="str">
        <v>OrganisationGroup</v>
      </c>
      <c r="L24" t="str">
        <v>E. Africa Standard Time</v>
      </c>
      <c r="M24">
        <v>0</v>
      </c>
    </row>
    <row r="25">
      <c r="A25" t="str">
        <v>A5382437947137010564</v>
      </c>
      <c r="B25" t="str">
        <v>Custom</v>
      </c>
      <c r="C25" t="str">
        <v>FM Average trip axle weight</v>
      </c>
      <c r="D25" t="str">
        <v>FM Average trip axle weight</v>
      </c>
      <c r="E25" t="e">
        <f>VLOOKUP(C:C,Sheet1!A:A,1,0)</f>
        <v>#N/A</v>
      </c>
      <c r="F25" t="str">
        <v>FM Peak axle weight - Global axle weight</v>
      </c>
      <c r="G25" t="str">
        <v>WeightKilograms</v>
      </c>
      <c r="H25" t="str">
        <v>kg</v>
      </c>
      <c r="I25" t="str">
        <v>A3522792081055458809</v>
      </c>
      <c r="J25" t="str">
        <v>LafargeHolcim - Kenya</v>
      </c>
      <c r="K25" t="str">
        <v>OrganisationGroup</v>
      </c>
      <c r="L25" t="str">
        <v>E. Africa Standard Time</v>
      </c>
      <c r="M25">
        <v>0</v>
      </c>
    </row>
    <row r="26">
      <c r="A26" t="str">
        <v>A8799166104556027733</v>
      </c>
      <c r="B26" t="str">
        <v>Custom</v>
      </c>
      <c r="C26" t="str">
        <v>HDOP value  &gt;= 2</v>
      </c>
      <c r="D26" t="str">
        <v>HDOP value  &gt;= 2</v>
      </c>
      <c r="E26" t="e">
        <f>VLOOKUP(C:C,Sheet1!A:A,1,0)</f>
        <v>#N/A</v>
      </c>
      <c r="F26" t="str">
        <v>GPS HDOP</v>
      </c>
      <c r="G26" t="str">
        <v>Value</v>
      </c>
      <c r="I26" t="str">
        <v>A3522792081055458809</v>
      </c>
      <c r="J26" t="str">
        <v>LafargeHolcim - Kenya</v>
      </c>
      <c r="K26" t="str">
        <v>OrganisationGroup</v>
      </c>
      <c r="L26" t="str">
        <v>E. Africa Standard Time</v>
      </c>
      <c r="M26">
        <v>0</v>
      </c>
    </row>
    <row r="27">
      <c r="A27" t="str">
        <v>A4309203399806454809</v>
      </c>
      <c r="B27" t="str">
        <v>Custom</v>
      </c>
      <c r="C27" t="str">
        <v>FMS Free Wheeling in Neutral Gear</v>
      </c>
      <c r="D27" t="str">
        <v>FMS Free Wheeling in Neutral Gear</v>
      </c>
      <c r="E27" t="e">
        <f>VLOOKUP(C:C,Sheet1!A:A,1,0)</f>
        <v>#N/A</v>
      </c>
      <c r="F27" t="str">
        <v>Road speed</v>
      </c>
      <c r="G27" t="str">
        <v>Speed</v>
      </c>
      <c r="H27" t="str">
        <v>km/h</v>
      </c>
      <c r="I27" t="str">
        <v>A3522792081055458809</v>
      </c>
      <c r="J27" t="str">
        <v>LafargeHolcim - Kenya</v>
      </c>
      <c r="K27" t="str">
        <v>OrganisationGroup</v>
      </c>
      <c r="L27" t="str">
        <v>E. Africa Standard Time</v>
      </c>
      <c r="M27">
        <v>0</v>
      </c>
    </row>
    <row r="28">
      <c r="A28" t="str">
        <v>A1745228639921425589</v>
      </c>
      <c r="B28" t="str">
        <v>Custom</v>
      </c>
      <c r="C28" t="str">
        <v>Production - Free wheelIng at 700RPM</v>
      </c>
      <c r="D28" t="str">
        <v>Production - Free wheelIng at 700RPM</v>
      </c>
      <c r="E28" t="e">
        <f>VLOOKUP(C:C,Sheet1!A:A,1,0)</f>
        <v>#N/A</v>
      </c>
      <c r="F28" t="str">
        <v>Road speed</v>
      </c>
      <c r="G28" t="str">
        <v>Speed</v>
      </c>
      <c r="H28" t="str">
        <v>km/h</v>
      </c>
      <c r="I28" t="str">
        <v>A3522792081055458809</v>
      </c>
      <c r="J28" t="str">
        <v>LafargeHolcim - Kenya</v>
      </c>
      <c r="K28" t="str">
        <v>OrganisationGroup</v>
      </c>
      <c r="L28" t="str">
        <v>E. Africa Standard Time</v>
      </c>
      <c r="M28">
        <v>0</v>
      </c>
    </row>
    <row r="29">
      <c r="A29" t="str">
        <v>A6449994192227270248</v>
      </c>
      <c r="B29" t="str">
        <v>Custom</v>
      </c>
      <c r="C29" t="str">
        <v>FMS Accelerator Pedal Position</v>
      </c>
      <c r="D29" t="str">
        <v>FMS Accelerator Pedal Position</v>
      </c>
      <c r="E29" t="e">
        <f>VLOOKUP(C:C,Sheet1!A:A,1,0)</f>
        <v>#N/A</v>
      </c>
      <c r="F29" t="str">
        <v>FMS Accelerator Pedal Position</v>
      </c>
      <c r="G29" t="str">
        <v>Value</v>
      </c>
      <c r="H29" t="str">
        <v>%</v>
      </c>
      <c r="I29" t="str">
        <v>A3522792081055458809</v>
      </c>
      <c r="J29" t="str">
        <v>LafargeHolcim - Kenya</v>
      </c>
      <c r="K29" t="str">
        <v>OrganisationGroup</v>
      </c>
      <c r="L29" t="str">
        <v>E. Africa Standard Time</v>
      </c>
      <c r="M29">
        <v>0</v>
      </c>
    </row>
    <row r="30">
      <c r="A30" t="str">
        <v>A-2952015152782529121</v>
      </c>
      <c r="B30" t="str">
        <v>Custom</v>
      </c>
      <c r="C30" t="str">
        <v>FM Current Gear(Not Neutral)</v>
      </c>
      <c r="D30" t="str">
        <v>FM Current Gear(Not Neutral)</v>
      </c>
      <c r="E30" t="e">
        <f>VLOOKUP(C:C,Sheet1!A:A,1,0)</f>
        <v>#N/A</v>
      </c>
      <c r="F30" t="str">
        <v>FMS Current Gear</v>
      </c>
      <c r="G30" t="str">
        <v>Value</v>
      </c>
      <c r="I30" t="str">
        <v>A3522792081055458809</v>
      </c>
      <c r="J30" t="str">
        <v>LafargeHolcim - Kenya</v>
      </c>
      <c r="K30" t="str">
        <v>OrganisationGroup</v>
      </c>
      <c r="L30" t="str">
        <v>E. Africa Standard Time</v>
      </c>
      <c r="M30">
        <v>0</v>
      </c>
    </row>
    <row r="31">
      <c r="A31" t="str">
        <v>A4197509963469977871</v>
      </c>
      <c r="B31" t="str">
        <v>Custom</v>
      </c>
      <c r="C31" t="str">
        <v>FM Current Gear(Neutral)</v>
      </c>
      <c r="D31" t="str">
        <v>FM Current Gear(Neutral)</v>
      </c>
      <c r="E31" t="e">
        <f>VLOOKUP(C:C,Sheet1!A:A,1,0)</f>
        <v>#N/A</v>
      </c>
      <c r="F31" t="str">
        <v>FMS Current Gear</v>
      </c>
      <c r="G31" t="str">
        <v>Value</v>
      </c>
      <c r="I31" t="str">
        <v>A3522792081055458809</v>
      </c>
      <c r="J31" t="str">
        <v>LafargeHolcim - Kenya</v>
      </c>
      <c r="K31" t="str">
        <v>OrganisationGroup</v>
      </c>
      <c r="L31" t="str">
        <v>E. Africa Standard Time</v>
      </c>
      <c r="M31">
        <v>0</v>
      </c>
    </row>
    <row r="32">
      <c r="A32" t="str">
        <v>A-6415055940186699981</v>
      </c>
      <c r="B32" t="str">
        <v>Custom</v>
      </c>
      <c r="C32" t="str">
        <v>Diagnostic: Fault no Speed detected</v>
      </c>
      <c r="D32" t="str">
        <v>Diagnostic: Fault no Speed detected</v>
      </c>
      <c r="E32" t="e">
        <f>VLOOKUP(C:C,Sheet1!A:A,1,0)</f>
        <v>#N/A</v>
      </c>
      <c r="F32" t="str">
        <v>Time in mode</v>
      </c>
      <c r="G32" t="str">
        <v>Seconds</v>
      </c>
      <c r="H32" t="str">
        <v>seconds</v>
      </c>
      <c r="I32" t="str">
        <v>A3522792081055458809</v>
      </c>
      <c r="J32" t="str">
        <v>LafargeHolcim - Kenya</v>
      </c>
      <c r="K32" t="str">
        <v>OrganisationGroup</v>
      </c>
      <c r="L32" t="str">
        <v>E. Africa Standard Time</v>
      </c>
      <c r="M32">
        <v>0</v>
      </c>
    </row>
    <row r="33">
      <c r="A33" t="str">
        <v>A4761257716170937684</v>
      </c>
      <c r="B33" t="str">
        <v>Custom</v>
      </c>
      <c r="C33" t="str">
        <v>HV-Over Speeding</v>
      </c>
      <c r="D33" t="str">
        <v>HV-Over Speeding</v>
      </c>
      <c r="E33" t="e">
        <f>VLOOKUP(C:C,Sheet1!A:A,1,0)</f>
        <v>#N/A</v>
      </c>
      <c r="F33" t="str">
        <v>Road speed</v>
      </c>
      <c r="G33" t="str">
        <v>Speed</v>
      </c>
      <c r="H33" t="str">
        <v>km/h</v>
      </c>
      <c r="I33" t="str">
        <v>A3522792081055458809</v>
      </c>
      <c r="J33" t="str">
        <v>LafargeHolcim - Kenya</v>
      </c>
      <c r="K33" t="str">
        <v>OrganisationGroup</v>
      </c>
      <c r="L33" t="str">
        <v>E. Africa Standard Time</v>
      </c>
      <c r="M33">
        <v>0</v>
      </c>
    </row>
    <row r="34">
      <c r="A34" t="str">
        <v>A1935003460615462583</v>
      </c>
      <c r="B34" t="str">
        <v>Custom</v>
      </c>
      <c r="C34" t="str">
        <v>Diagnostic: No RPM and GPSV</v>
      </c>
      <c r="D34" t="str">
        <v>Diagnostic: No RPM and GPSV</v>
      </c>
      <c r="E34" t="e">
        <f>VLOOKUP(C:C,Sheet1!A:A,1,0)</f>
        <v>#N/A</v>
      </c>
      <c r="F34" t="str">
        <v>GPS velocity</v>
      </c>
      <c r="G34" t="str">
        <v>Speed</v>
      </c>
      <c r="H34" t="str">
        <v>km/h</v>
      </c>
      <c r="I34" t="str">
        <v>A3522792081055458809</v>
      </c>
      <c r="J34" t="str">
        <v>LafargeHolcim - Kenya</v>
      </c>
      <c r="K34" t="str">
        <v>OrganisationGroup</v>
      </c>
      <c r="L34" t="str">
        <v>E. Africa Standard Time</v>
      </c>
      <c r="M34">
        <v>0</v>
      </c>
    </row>
    <row r="35">
      <c r="A35" t="str">
        <v>A4398723202392331284</v>
      </c>
      <c r="B35" t="str">
        <v>Custom</v>
      </c>
      <c r="C35" t="str">
        <v>OML 3hours and 45 minutes without rest</v>
      </c>
      <c r="D35" t="str">
        <v>OML 3hours and 45 minutes without rest</v>
      </c>
      <c r="E35" t="e">
        <f>VLOOKUP(C:C,Sheet1!A:A,1,0)</f>
        <v>#N/A</v>
      </c>
      <c r="F35" t="str">
        <v>Time in mode</v>
      </c>
      <c r="G35" t="str">
        <v>Seconds</v>
      </c>
      <c r="H35" t="str">
        <v>seconds</v>
      </c>
      <c r="I35" t="str">
        <v>A3522792081055458809</v>
      </c>
      <c r="J35" t="str">
        <v>LafargeHolcim - Kenya</v>
      </c>
      <c r="K35" t="str">
        <v>OrganisationGroup</v>
      </c>
      <c r="L35" t="str">
        <v>E. Africa Standard Time</v>
      </c>
      <c r="M35">
        <v>0</v>
      </c>
    </row>
    <row r="36">
      <c r="A36" t="str">
        <v>A-1635014309349983208</v>
      </c>
      <c r="B36" t="str">
        <v>Custom</v>
      </c>
      <c r="C36" t="str">
        <v>Free Wheeling(Accelerator Position)</v>
      </c>
      <c r="D36" t="str">
        <v>Free Wheeling(Accelerator Position)</v>
      </c>
      <c r="E36" t="e">
        <f>VLOOKUP(C:C,Sheet1!A:A,1,0)</f>
        <v>#N/A</v>
      </c>
      <c r="F36" t="str">
        <v>FM Accelerator pedal position</v>
      </c>
      <c r="G36" t="str">
        <v>Value</v>
      </c>
      <c r="H36" t="str">
        <v>%</v>
      </c>
      <c r="I36" t="str">
        <v>A3522792081055458809</v>
      </c>
      <c r="J36" t="str">
        <v>LafargeHolcim - Kenya</v>
      </c>
      <c r="K36" t="str">
        <v>OrganisationGroup</v>
      </c>
      <c r="L36" t="str">
        <v>E. Africa Standard Time</v>
      </c>
      <c r="M36">
        <v>0</v>
      </c>
    </row>
    <row r="37">
      <c r="A37" t="str">
        <v>A-1083549470903377022</v>
      </c>
      <c r="B37" t="str">
        <v>Custom</v>
      </c>
      <c r="C37" t="str">
        <v>Di: Fault no RPM Detected</v>
      </c>
      <c r="D37" t="str">
        <v>Di: Fault no RPM Detected</v>
      </c>
      <c r="E37" t="e">
        <f>VLOOKUP(C:C,Sheet1!A:A,1,0)</f>
        <v>#N/A</v>
      </c>
      <c r="F37" t="str">
        <v>Engine RPM</v>
      </c>
      <c r="G37" t="str">
        <v>Value</v>
      </c>
      <c r="H37" t="str">
        <v>RPM</v>
      </c>
      <c r="I37" t="str">
        <v>A3522792081055458809</v>
      </c>
      <c r="J37" t="str">
        <v>LafargeHolcim - Kenya</v>
      </c>
      <c r="K37" t="str">
        <v>OrganisationGroup</v>
      </c>
      <c r="L37" t="str">
        <v>E. Africa Standard Time</v>
      </c>
      <c r="M37">
        <v>0</v>
      </c>
    </row>
    <row r="38">
      <c r="A38" t="str">
        <v>A5606120984604369316</v>
      </c>
      <c r="B38" t="str">
        <v>Custom</v>
      </c>
      <c r="C38" t="str">
        <v>Continous Driving above 4hrs</v>
      </c>
      <c r="D38" t="str">
        <v>Continous Driving above 4hrs</v>
      </c>
      <c r="E38" t="e">
        <f>VLOOKUP(C:C,Sheet1!A:A,1,0)</f>
        <v>#N/A</v>
      </c>
      <c r="F38" t="str">
        <v>Time Since Ignition On</v>
      </c>
      <c r="G38" t="str">
        <v>Seconds</v>
      </c>
      <c r="H38" t="str">
        <v>seconds</v>
      </c>
      <c r="I38" t="str">
        <v>A3522792081055458809</v>
      </c>
      <c r="J38" t="str">
        <v>LafargeHolcim - Kenya</v>
      </c>
      <c r="K38" t="str">
        <v>OrganisationGroup</v>
      </c>
      <c r="L38" t="str">
        <v>E. Africa Standard Time</v>
      </c>
      <c r="M38">
        <v>0</v>
      </c>
    </row>
    <row r="39">
      <c r="A39" t="str">
        <v>A2706248173394269806</v>
      </c>
      <c r="B39" t="str">
        <v>Custom</v>
      </c>
      <c r="C39" t="str">
        <v>LV-Over speeding</v>
      </c>
      <c r="D39" t="str">
        <v>LV-Over speeding</v>
      </c>
      <c r="E39" t="e">
        <f>VLOOKUP(C:C,Sheet1!A:A,1,0)</f>
        <v>#N/A</v>
      </c>
      <c r="F39" t="str">
        <v>Road speed</v>
      </c>
      <c r="G39" t="str">
        <v>Speed</v>
      </c>
      <c r="H39" t="str">
        <v>km/h</v>
      </c>
      <c r="I39" t="str">
        <v>A3522792081055458809</v>
      </c>
      <c r="J39" t="str">
        <v>LafargeHolcim - Kenya</v>
      </c>
      <c r="K39" t="str">
        <v>OrganisationGroup</v>
      </c>
      <c r="L39" t="str">
        <v>E. Africa Standard Time</v>
      </c>
      <c r="M39">
        <v>0</v>
      </c>
    </row>
    <row r="40">
      <c r="A40" t="str">
        <v>A2250635997951582215</v>
      </c>
      <c r="B40" t="str">
        <v>Custom</v>
      </c>
      <c r="C40" t="str">
        <v>LV-Harsh Braking</v>
      </c>
      <c r="D40" t="str">
        <v>LV-Harsh Braking</v>
      </c>
      <c r="E40" t="e">
        <f>VLOOKUP(C:C,Sheet1!A:A,1,0)</f>
        <v>#N/A</v>
      </c>
      <c r="F40" t="str">
        <v>Deceleration</v>
      </c>
      <c r="G40" t="str">
        <v>Acceleration</v>
      </c>
      <c r="H40" t="str">
        <v>km/h/s</v>
      </c>
      <c r="I40" t="str">
        <v>A3522792081055458809</v>
      </c>
      <c r="J40" t="str">
        <v>LafargeHolcim - Kenya</v>
      </c>
      <c r="K40" t="str">
        <v>OrganisationGroup</v>
      </c>
      <c r="L40" t="str">
        <v>E. Africa Standard Time</v>
      </c>
      <c r="M40">
        <v>0</v>
      </c>
    </row>
    <row r="41">
      <c r="A41" t="str">
        <v>A-2553499353092759098</v>
      </c>
      <c r="B41" t="str">
        <v>Custom</v>
      </c>
      <c r="C41" t="str">
        <v>LV- Harsh Accelation</v>
      </c>
      <c r="D41" t="str">
        <v>LV- Harsh Accelation</v>
      </c>
      <c r="E41" t="e">
        <f>VLOOKUP(C:C,Sheet1!A:A,1,0)</f>
        <v>#N/A</v>
      </c>
      <c r="F41" t="str">
        <v>Acceleration</v>
      </c>
      <c r="G41" t="str">
        <v>Acceleration</v>
      </c>
      <c r="H41" t="str">
        <v>km/h/s</v>
      </c>
      <c r="I41" t="str">
        <v>A3522792081055458809</v>
      </c>
      <c r="J41" t="str">
        <v>LafargeHolcim - Kenya</v>
      </c>
      <c r="K41" t="str">
        <v>OrganisationGroup</v>
      </c>
      <c r="L41" t="str">
        <v>E. Africa Standard Time</v>
      </c>
      <c r="M41">
        <v>0</v>
      </c>
    </row>
    <row r="42">
      <c r="A42" t="str">
        <v>A7033251768518439778</v>
      </c>
      <c r="B42" t="str">
        <v>Custom</v>
      </c>
      <c r="C42" t="str">
        <v>LV-Freewheeling</v>
      </c>
      <c r="D42" t="str">
        <v>LV-Freewheeling</v>
      </c>
      <c r="E42" t="e">
        <f>VLOOKUP(C:C,Sheet1!A:A,1,0)</f>
        <v>#N/A</v>
      </c>
      <c r="F42" t="str">
        <v>Road speed</v>
      </c>
      <c r="G42" t="str">
        <v>Speed</v>
      </c>
      <c r="H42" t="str">
        <v>km/h</v>
      </c>
      <c r="I42" t="str">
        <v>A3522792081055458809</v>
      </c>
      <c r="J42" t="str">
        <v>LafargeHolcim - Kenya</v>
      </c>
      <c r="K42" t="str">
        <v>OrganisationGroup</v>
      </c>
      <c r="L42" t="str">
        <v>E. Africa Standard Time</v>
      </c>
      <c r="M42">
        <v>0</v>
      </c>
    </row>
    <row r="43">
      <c r="A43" t="str">
        <v>A-6200097267990925683</v>
      </c>
      <c r="B43" t="str">
        <v>Custom</v>
      </c>
      <c r="C43" t="str">
        <v>xxTest</v>
      </c>
      <c r="D43" t="str">
        <v>xxTest</v>
      </c>
      <c r="E43" t="e">
        <f>VLOOKUP(C:C,Sheet1!A:A,1,0)</f>
        <v>#N/A</v>
      </c>
      <c r="F43" t="str">
        <v>Road speed</v>
      </c>
      <c r="G43" t="str">
        <v>Speed</v>
      </c>
      <c r="H43" t="str">
        <v>km/h</v>
      </c>
      <c r="I43" t="str">
        <v>A3522792081055458809</v>
      </c>
      <c r="J43" t="str">
        <v>LafargeHolcim - Kenya</v>
      </c>
      <c r="K43" t="str">
        <v>OrganisationGroup</v>
      </c>
      <c r="L43" t="str">
        <v>E. Africa Standard Time</v>
      </c>
      <c r="M43">
        <v>0</v>
      </c>
    </row>
    <row r="44">
      <c r="A44" t="str">
        <v>A-570540139813056189</v>
      </c>
      <c r="B44" t="str">
        <v>Custom</v>
      </c>
      <c r="C44" t="str">
        <v>3-Axis - Possible Accident (In Trip)</v>
      </c>
      <c r="D44" t="str">
        <v>3-Axis - Possible Accident (In Trip)</v>
      </c>
      <c r="E44" t="e">
        <f>VLOOKUP(C:C,Sheet1!A:A,1,0)</f>
        <v>#N/A</v>
      </c>
      <c r="F44" t="str">
        <v>3-Axis Impact Severity</v>
      </c>
      <c r="G44" t="str">
        <v>Value</v>
      </c>
      <c r="H44" t="str">
        <v>g</v>
      </c>
      <c r="I44" t="str">
        <v>A3522792081055458809</v>
      </c>
      <c r="J44" t="str">
        <v>LafargeHolcim - Kenya</v>
      </c>
      <c r="K44" t="str">
        <v>OrganisationGroup</v>
      </c>
      <c r="L44" t="str">
        <v>E. Africa Standard Time</v>
      </c>
      <c r="M44">
        <v>0</v>
      </c>
    </row>
    <row r="45">
      <c r="A45" t="str">
        <v>A31162517270121977</v>
      </c>
      <c r="B45" t="str">
        <v>Custom</v>
      </c>
      <c r="C45" t="str">
        <v>Over Speeding 30KM/H Speed Zone</v>
      </c>
      <c r="D45" t="str">
        <v>Over Speeding 30KM/H Speed Zone</v>
      </c>
      <c r="E45" t="e">
        <f>VLOOKUP(C:C,Sheet1!A:A,1,0)</f>
        <v>#N/A</v>
      </c>
      <c r="F45" t="str">
        <v>Road speed</v>
      </c>
      <c r="G45" t="str">
        <v>Speed</v>
      </c>
      <c r="H45" t="str">
        <v>km/h</v>
      </c>
      <c r="I45" t="str">
        <v>A3522792081055458809</v>
      </c>
      <c r="J45" t="str">
        <v>LafargeHolcim - Kenya</v>
      </c>
      <c r="K45" t="str">
        <v>OrganisationGroup</v>
      </c>
      <c r="L45" t="str">
        <v>E. Africa Standard Time</v>
      </c>
      <c r="M45">
        <v>0</v>
      </c>
    </row>
    <row r="46">
      <c r="A46" t="str">
        <v>A6481900675840720818</v>
      </c>
      <c r="B46" t="str">
        <v>Custom</v>
      </c>
      <c r="C46" t="str">
        <v>Overspeeding in 50kph Speed Zone</v>
      </c>
      <c r="D46" t="str">
        <v>Overspeeding in 50kph Speed Zone</v>
      </c>
      <c r="E46" t="e">
        <f>VLOOKUP(C:C,Sheet1!A:A,1,0)</f>
        <v>#N/A</v>
      </c>
      <c r="F46" t="str">
        <v>Road speed</v>
      </c>
      <c r="G46" t="str">
        <v>Speed</v>
      </c>
      <c r="H46" t="str">
        <v>km/h</v>
      </c>
      <c r="I46" t="str">
        <v>A3522792081055458809</v>
      </c>
      <c r="J46" t="str">
        <v>LafargeHolcim - Kenya</v>
      </c>
      <c r="K46" t="str">
        <v>OrganisationGroup</v>
      </c>
      <c r="L46" t="str">
        <v>E. Africa Standard Time</v>
      </c>
      <c r="M46">
        <v>0</v>
      </c>
    </row>
    <row r="47">
      <c r="A47" t="str">
        <v>A969655074388103168</v>
      </c>
      <c r="B47" t="str">
        <v>ServerSide</v>
      </c>
      <c r="C47" t="str">
        <v>Distance At Location LH Global Extract</v>
      </c>
      <c r="D47" t="str">
        <v>Distance At Location LH Global Extract</v>
      </c>
      <c r="E47" t="e">
        <f>VLOOKUP(C:C,Sheet1!A:A,1,0)</f>
        <v>#N/A</v>
      </c>
      <c r="F47" t="str">
        <v>Trip distance</v>
      </c>
      <c r="G47" t="str">
        <v>DistanceKilometers</v>
      </c>
      <c r="H47" t="str">
        <v>km</v>
      </c>
      <c r="I47" t="str">
        <v>A3522792081055458809</v>
      </c>
      <c r="J47" t="str">
        <v>LafargeHolcim - Kenya</v>
      </c>
      <c r="K47" t="str">
        <v>OrganisationGroup</v>
      </c>
      <c r="L47" t="str">
        <v>E. Africa Standard Time</v>
      </c>
      <c r="M47">
        <v>0</v>
      </c>
    </row>
    <row r="48">
      <c r="A48" t="str">
        <v>A937385779145252864</v>
      </c>
      <c r="B48" t="str">
        <v>ServerSide</v>
      </c>
      <c r="C48" t="str">
        <v>Checkpoint &amp; Restop overstay more than 30 min</v>
      </c>
      <c r="D48" t="str">
        <v>Checkpoint &amp; Restop overstay more than 30 min</v>
      </c>
      <c r="E48" t="e">
        <f>VLOOKUP(C:C,Sheet1!A:A,1,0)</f>
        <v>#N/A</v>
      </c>
      <c r="F48" t="str">
        <v>At location</v>
      </c>
      <c r="G48" t="str">
        <v>Location</v>
      </c>
      <c r="I48" t="str">
        <v>A3522792081055458809</v>
      </c>
      <c r="J48" t="str">
        <v>LafargeHolcim - Kenya</v>
      </c>
      <c r="K48" t="str">
        <v>OrganisationGroup</v>
      </c>
      <c r="L48" t="str">
        <v>E. Africa Standard Time</v>
      </c>
      <c r="M48">
        <v>0</v>
      </c>
    </row>
    <row r="49">
      <c r="A49" t="str">
        <v>A3922226048448515216</v>
      </c>
      <c r="B49" t="str">
        <v>Custom</v>
      </c>
      <c r="C49" t="str">
        <v>Route overstay more than 20 min</v>
      </c>
      <c r="D49" t="str">
        <v>Route overstay more than 20 min</v>
      </c>
      <c r="E49" t="e">
        <f>VLOOKUP(C:C,Sheet1!A:A,1,0)</f>
        <v>#N/A</v>
      </c>
      <c r="F49" t="str">
        <v>Time in mode</v>
      </c>
      <c r="G49" t="str">
        <v>Seconds</v>
      </c>
      <c r="H49" t="str">
        <v>seconds</v>
      </c>
      <c r="I49" t="str">
        <v>A3522792081055458809</v>
      </c>
      <c r="J49" t="str">
        <v>LafargeHolcim - Kenya</v>
      </c>
      <c r="K49" t="str">
        <v>OrganisationGroup</v>
      </c>
      <c r="L49" t="str">
        <v>E. Africa Standard Time</v>
      </c>
      <c r="M49">
        <v>0</v>
      </c>
    </row>
    <row r="50">
      <c r="A50" t="str">
        <v>A926590615446020096</v>
      </c>
      <c r="B50" t="str">
        <v>ServerSide</v>
      </c>
      <c r="C50" t="str">
        <v>Dakawou No-Go Zone Entered</v>
      </c>
      <c r="D50" t="str">
        <v>Dakawou No-Go Zone Entered</v>
      </c>
      <c r="E50" t="e">
        <f>VLOOKUP(C:C,Sheet1!A:A,1,0)</f>
        <v>#N/A</v>
      </c>
      <c r="F50" t="str">
        <v>At location</v>
      </c>
      <c r="G50" t="str">
        <v>Location</v>
      </c>
      <c r="I50" t="str">
        <v>A3522792081055458809</v>
      </c>
      <c r="J50" t="str">
        <v>LafargeHolcim - Kenya</v>
      </c>
      <c r="K50" t="str">
        <v>OrganisationGroup</v>
      </c>
      <c r="L50" t="str">
        <v>E. Africa Standard Time</v>
      </c>
      <c r="M50">
        <v>0</v>
      </c>
    </row>
    <row r="51">
      <c r="A51" t="str">
        <v>A4943019320888712854</v>
      </c>
      <c r="B51" t="str">
        <v>Custom</v>
      </c>
      <c r="C51" t="str">
        <v>Dakawou No- Go Zone Entered</v>
      </c>
      <c r="D51" t="str">
        <v>Dakawou No- Go Zone Entered</v>
      </c>
      <c r="E51" t="e">
        <f>VLOOKUP(C:C,Sheet1!A:A,1,0)</f>
        <v>#N/A</v>
      </c>
      <c r="F51" t="str">
        <v>Time in mode</v>
      </c>
      <c r="G51" t="str">
        <v>Seconds</v>
      </c>
      <c r="H51" t="str">
        <v>seconds</v>
      </c>
      <c r="I51" t="str">
        <v>A3522792081055458809</v>
      </c>
      <c r="J51" t="str">
        <v>LafargeHolcim - Kenya</v>
      </c>
      <c r="K51" t="str">
        <v>OrganisationGroup</v>
      </c>
      <c r="L51" t="str">
        <v>E. Africa Standard Time</v>
      </c>
      <c r="M51">
        <v>0</v>
      </c>
    </row>
    <row r="52">
      <c r="A52" t="str">
        <v>A924412969368444928</v>
      </c>
      <c r="B52" t="str">
        <v>ServerSide</v>
      </c>
      <c r="C52" t="str">
        <v>Lex Site Exit</v>
      </c>
      <c r="D52" t="str">
        <v>Lex Site Exit</v>
      </c>
      <c r="E52" t="e">
        <f>VLOOKUP(C:C,Sheet1!A:A,1,0)</f>
        <v>#N/A</v>
      </c>
      <c r="F52" t="str">
        <v>At location</v>
      </c>
      <c r="G52" t="str">
        <v>Location</v>
      </c>
      <c r="I52" t="str">
        <v>A3522792081055458809</v>
      </c>
      <c r="J52" t="str">
        <v>LafargeHolcim - Kenya</v>
      </c>
      <c r="K52" t="str">
        <v>OrganisationGroup</v>
      </c>
      <c r="L52" t="str">
        <v>E. Africa Standard Time</v>
      </c>
      <c r="M52">
        <v>0</v>
      </c>
    </row>
    <row r="53">
      <c r="A53" t="str">
        <v>A924412275139829760</v>
      </c>
      <c r="B53" t="str">
        <v>ServerSide</v>
      </c>
      <c r="C53" t="str">
        <v>Lex Site Entry</v>
      </c>
      <c r="D53" t="str">
        <v>Lex Site Entry</v>
      </c>
      <c r="E53" t="e">
        <f>VLOOKUP(C:C,Sheet1!A:A,1,0)</f>
        <v>#N/A</v>
      </c>
      <c r="F53" t="str">
        <v>At location</v>
      </c>
      <c r="G53" t="str">
        <v>Location</v>
      </c>
      <c r="I53" t="str">
        <v>A3522792081055458809</v>
      </c>
      <c r="J53" t="str">
        <v>LafargeHolcim - Kenya</v>
      </c>
      <c r="K53" t="str">
        <v>OrganisationGroup</v>
      </c>
      <c r="L53" t="str">
        <v>E. Africa Standard Time</v>
      </c>
      <c r="M53">
        <v>0</v>
      </c>
    </row>
    <row r="54">
      <c r="A54" t="str">
        <v>A910647108572770304</v>
      </c>
      <c r="B54" t="str">
        <v>ServerSide</v>
      </c>
      <c r="C54" t="str">
        <v>Kinyambu - NO GO ZONE (Dakawou)</v>
      </c>
      <c r="D54" t="str">
        <v>Kinyambu - NO GO ZONE (Dakawou)</v>
      </c>
      <c r="E54" t="e">
        <f>VLOOKUP(C:C,Sheet1!A:A,1,0)</f>
        <v>#N/A</v>
      </c>
      <c r="F54" t="str">
        <v>At location</v>
      </c>
      <c r="G54" t="str">
        <v>Location</v>
      </c>
      <c r="I54" t="str">
        <v>A3522792081055458809</v>
      </c>
      <c r="J54" t="str">
        <v>LafargeHolcim - Kenya</v>
      </c>
      <c r="K54" t="str">
        <v>OrganisationGroup</v>
      </c>
      <c r="L54" t="str">
        <v>E. Africa Standard Time</v>
      </c>
      <c r="M54">
        <v>0</v>
      </c>
    </row>
    <row r="55">
      <c r="A55" t="str">
        <v>A3594842015000675169</v>
      </c>
      <c r="B55" t="str">
        <v>Custom</v>
      </c>
      <c r="C55" t="str">
        <v>Backup Battery Status</v>
      </c>
      <c r="D55" t="str">
        <v>Backup Battery Status</v>
      </c>
      <c r="E55" t="e">
        <f>VLOOKUP(C:C,Sheet1!A:A,1,0)</f>
        <v>#N/A</v>
      </c>
      <c r="F55" t="str">
        <v>Battery voltage</v>
      </c>
      <c r="G55" t="str">
        <v>Value</v>
      </c>
      <c r="H55" t="str">
        <v>mV</v>
      </c>
      <c r="I55" t="str">
        <v>A3522792081055458809</v>
      </c>
      <c r="J55" t="str">
        <v>LafargeHolcim - Kenya</v>
      </c>
      <c r="K55" t="str">
        <v>OrganisationGroup</v>
      </c>
      <c r="L55" t="str">
        <v>E. Africa Standard Time</v>
      </c>
      <c r="M55">
        <v>0</v>
      </c>
    </row>
    <row r="56">
      <c r="A56" t="str">
        <v>A-1851510360619815466</v>
      </c>
      <c r="B56" t="str">
        <v>Custom</v>
      </c>
      <c r="C56" t="str">
        <v>GPS Jamming Detected</v>
      </c>
      <c r="D56" t="str">
        <v>GPS Jamming Detected</v>
      </c>
      <c r="E56" t="e">
        <f>VLOOKUP(C:C,Sheet1!A:A,1,0)</f>
        <v>#N/A</v>
      </c>
      <c r="I56" t="str">
        <v>A3522792081055458809</v>
      </c>
      <c r="J56" t="str">
        <v>LafargeHolcim - Kenya</v>
      </c>
      <c r="K56" t="str">
        <v>OrganisationGroup</v>
      </c>
      <c r="L56" t="str">
        <v>E. Africa Standard Time</v>
      </c>
      <c r="M56">
        <v>0</v>
      </c>
    </row>
    <row r="57">
      <c r="A57" t="str">
        <v>A3237327781821243411</v>
      </c>
      <c r="B57" t="str">
        <v>Custom</v>
      </c>
      <c r="C57" t="str">
        <v>GSM Jamming Detected</v>
      </c>
      <c r="D57" t="str">
        <v>GSM Jamming Detected</v>
      </c>
      <c r="E57" t="e">
        <f>VLOOKUP(C:C,Sheet1!A:A,1,0)</f>
        <v>#N/A</v>
      </c>
      <c r="I57" t="str">
        <v>A3522792081055458809</v>
      </c>
      <c r="J57" t="str">
        <v>LafargeHolcim - Kenya</v>
      </c>
      <c r="K57" t="str">
        <v>OrganisationGroup</v>
      </c>
      <c r="L57" t="str">
        <v>E. Africa Standard Time</v>
      </c>
      <c r="M57">
        <v>0</v>
      </c>
    </row>
    <row r="58">
      <c r="A58" t="str">
        <v>A-4429066632125534890</v>
      </c>
      <c r="B58" t="str">
        <v>Custom</v>
      </c>
      <c r="C58" t="str">
        <v>GSM Antenna Disconnection from IVMS Unit</v>
      </c>
      <c r="D58" t="str">
        <v>GSM Antenna Disconnection from IVMS Unit</v>
      </c>
      <c r="E58" t="e">
        <f>VLOOKUP(C:C,Sheet1!A:A,1,0)</f>
        <v>#N/A</v>
      </c>
      <c r="I58" t="str">
        <v>A3522792081055458809</v>
      </c>
      <c r="J58" t="str">
        <v>LafargeHolcim - Kenya</v>
      </c>
      <c r="K58" t="str">
        <v>OrganisationGroup</v>
      </c>
      <c r="L58" t="str">
        <v>E. Africa Standard Time</v>
      </c>
      <c r="M58">
        <v>0</v>
      </c>
    </row>
    <row r="59">
      <c r="A59" t="str">
        <v>A-6983924234979966035</v>
      </c>
      <c r="B59" t="str">
        <v>Custom</v>
      </c>
      <c r="C59" t="str">
        <v>Over Speeding 50kph Speed Zones | Quarry Haulage</v>
      </c>
      <c r="D59" t="str">
        <v>Over Speeding 50kph Speed Zones | Quarry Haulage</v>
      </c>
      <c r="E59" t="e">
        <f>VLOOKUP(C:C,Sheet1!A:A,1,0)</f>
        <v>#N/A</v>
      </c>
      <c r="F59" t="str">
        <v>Road speed</v>
      </c>
      <c r="G59" t="str">
        <v>Speed</v>
      </c>
      <c r="H59" t="str">
        <v>km/h</v>
      </c>
      <c r="I59" t="str">
        <v>A3522792081055458809</v>
      </c>
      <c r="J59" t="str">
        <v>LafargeHolcim - Kenya</v>
      </c>
      <c r="K59" t="str">
        <v>OrganisationGroup</v>
      </c>
      <c r="L59" t="str">
        <v>E. Africa Standard Time</v>
      </c>
      <c r="M59">
        <v>0</v>
      </c>
    </row>
    <row r="60">
      <c r="A60" t="str">
        <v>A83248424787274393</v>
      </c>
      <c r="B60" t="str">
        <v>Custom</v>
      </c>
      <c r="C60" t="str">
        <v>Over Speeding 30kph Speed Zones | Quarry Haulage</v>
      </c>
      <c r="D60" t="str">
        <v>Over Speeding 30kph Speed Zones | Quarry Haulage</v>
      </c>
      <c r="E60" t="e">
        <f>VLOOKUP(C:C,Sheet1!A:A,1,0)</f>
        <v>#N/A</v>
      </c>
      <c r="F60" t="str">
        <v>Road speed</v>
      </c>
      <c r="G60" t="str">
        <v>Speed</v>
      </c>
      <c r="H60" t="str">
        <v>km/h</v>
      </c>
      <c r="I60" t="str">
        <v>A3522792081055458809</v>
      </c>
      <c r="J60" t="str">
        <v>LafargeHolcim - Kenya</v>
      </c>
      <c r="K60" t="str">
        <v>OrganisationGroup</v>
      </c>
      <c r="L60" t="str">
        <v>E. Africa Standard Time</v>
      </c>
      <c r="M60">
        <v>0</v>
      </c>
    </row>
    <row r="61">
      <c r="A61" t="str">
        <v>A2052181504307320551</v>
      </c>
      <c r="B61" t="str">
        <v>Custom</v>
      </c>
      <c r="C61" t="str">
        <v>Over Speeding 40kph Speed Zones | Quarry Haulage</v>
      </c>
      <c r="D61" t="str">
        <v>Over Speeding 40kph Speed Zones | Quarry Haulage</v>
      </c>
      <c r="E61" t="e">
        <f>VLOOKUP(C:C,Sheet1!A:A,1,0)</f>
        <v>#N/A</v>
      </c>
      <c r="F61" t="str">
        <v>Road speed</v>
      </c>
      <c r="G61" t="str">
        <v>Speed</v>
      </c>
      <c r="H61" t="str">
        <v>km/h</v>
      </c>
      <c r="I61" t="str">
        <v>A3522792081055458809</v>
      </c>
      <c r="J61" t="str">
        <v>LafargeHolcim - Kenya</v>
      </c>
      <c r="K61" t="str">
        <v>OrganisationGroup</v>
      </c>
      <c r="L61" t="str">
        <v>E. Africa Standard Time</v>
      </c>
      <c r="M61">
        <v>0</v>
      </c>
    </row>
    <row r="62">
      <c r="A62" t="str">
        <v>A4981708048060145542</v>
      </c>
      <c r="B62" t="str">
        <v>Custom</v>
      </c>
      <c r="C62" t="str">
        <v>ARRIVED AT 5 KM RADIUS TO ATHI RIVER</v>
      </c>
      <c r="D62" t="str">
        <v>ARRIVED AT 5 KM RADIUS TO ATHI RIVER</v>
      </c>
      <c r="E62" t="e">
        <f>VLOOKUP(C:C,Sheet1!A:A,1,0)</f>
        <v>#N/A</v>
      </c>
      <c r="F62" t="str">
        <v>Current time</v>
      </c>
      <c r="G62" t="str">
        <v>Time</v>
      </c>
      <c r="I62" t="str">
        <v>A3522792081055458809</v>
      </c>
      <c r="J62" t="str">
        <v>LafargeHolcim - Kenya</v>
      </c>
      <c r="K62" t="str">
        <v>OrganisationGroup</v>
      </c>
      <c r="L62" t="str">
        <v>E. Africa Standard Time</v>
      </c>
      <c r="M62">
        <v>0</v>
      </c>
    </row>
    <row r="63">
      <c r="A63" t="str">
        <v>A2156395440132473118</v>
      </c>
      <c r="B63" t="str">
        <v>Custom</v>
      </c>
      <c r="C63" t="str">
        <v>Over speeding in 30KPH Speed Zone</v>
      </c>
      <c r="D63" t="str">
        <v>Over speeding in 30KPH Speed Zone</v>
      </c>
      <c r="E63" t="e">
        <f>VLOOKUP(C:C,Sheet1!A:A,1,0)</f>
        <v>#N/A</v>
      </c>
      <c r="F63" t="str">
        <v>Road speed</v>
      </c>
      <c r="G63" t="str">
        <v>Speed</v>
      </c>
      <c r="H63" t="str">
        <v>km/h</v>
      </c>
      <c r="I63" t="str">
        <v>A3522792081055458809</v>
      </c>
      <c r="J63" t="str">
        <v>LafargeHolcim - Kenya</v>
      </c>
      <c r="K63" t="str">
        <v>OrganisationGroup</v>
      </c>
      <c r="L63" t="str">
        <v>E. Africa Standard Time</v>
      </c>
      <c r="M63">
        <v>0</v>
      </c>
    </row>
    <row r="64">
      <c r="A64" t="str">
        <v>A-3980213157562609865</v>
      </c>
      <c r="B64" t="str">
        <v>Custom</v>
      </c>
      <c r="C64" t="str">
        <v>Over speeding in 40KPH Speed Zone</v>
      </c>
      <c r="D64" t="str">
        <v>Over speeding in 40KPH Speed Zone</v>
      </c>
      <c r="E64" t="e">
        <f>VLOOKUP(C:C,Sheet1!A:A,1,0)</f>
        <v>#N/A</v>
      </c>
      <c r="F64" t="str">
        <v>Road speed</v>
      </c>
      <c r="G64" t="str">
        <v>Speed</v>
      </c>
      <c r="H64" t="str">
        <v>km/h</v>
      </c>
      <c r="I64" t="str">
        <v>A3522792081055458809</v>
      </c>
      <c r="J64" t="str">
        <v>LafargeHolcim - Kenya</v>
      </c>
      <c r="K64" t="str">
        <v>OrganisationGroup</v>
      </c>
      <c r="L64" t="str">
        <v>E. Africa Standard Time</v>
      </c>
      <c r="M64">
        <v>0</v>
      </c>
    </row>
    <row r="65">
      <c r="A65" t="str">
        <v>A3529117761558274317</v>
      </c>
      <c r="B65" t="str">
        <v>Custom</v>
      </c>
      <c r="C65" t="str">
        <v>Driving within 5 km/h of Speed Limit for &gt; 30 mins</v>
      </c>
      <c r="D65" t="str">
        <v>Driving within 5 km/h of Speed Limit for &gt; 30 mins</v>
      </c>
      <c r="E65" t="e">
        <f>VLOOKUP(C:C,Sheet1!A:A,1,0)</f>
        <v>#N/A</v>
      </c>
      <c r="F65" t="str">
        <v>Road speed</v>
      </c>
      <c r="G65" t="str">
        <v>Speed</v>
      </c>
      <c r="H65" t="str">
        <v>km/h</v>
      </c>
      <c r="I65" t="str">
        <v>A3522792081055458809</v>
      </c>
      <c r="J65" t="str">
        <v>LafargeHolcim - Kenya</v>
      </c>
      <c r="K65" t="str">
        <v>OrganisationGroup</v>
      </c>
      <c r="L65" t="str">
        <v>E. Africa Standard Time</v>
      </c>
      <c r="M65">
        <v>0</v>
      </c>
    </row>
    <row r="66">
      <c r="A66" t="str">
        <v>A6946314618124602517</v>
      </c>
      <c r="B66" t="str">
        <v>Custom</v>
      </c>
      <c r="C66" t="str">
        <v>Over Speeding @ 70KM/H</v>
      </c>
      <c r="D66" t="str">
        <v>Over Speeding @ 70KM/H</v>
      </c>
      <c r="E66" t="e">
        <f>VLOOKUP(C:C,Sheet1!A:A,1,0)</f>
        <v>#N/A</v>
      </c>
      <c r="F66" t="str">
        <v>Road speed</v>
      </c>
      <c r="G66" t="str">
        <v>Speed</v>
      </c>
      <c r="H66" t="str">
        <v>km/h</v>
      </c>
      <c r="I66" t="str">
        <v>A3522792081055458809</v>
      </c>
      <c r="J66" t="str">
        <v>LafargeHolcim - Kenya</v>
      </c>
      <c r="K66" t="str">
        <v>OrganisationGroup</v>
      </c>
      <c r="L66" t="str">
        <v>E. Africa Standard Time</v>
      </c>
      <c r="M66">
        <v>0</v>
      </c>
    </row>
    <row r="67">
      <c r="A67" t="str">
        <v>A-8128094734937990618</v>
      </c>
      <c r="B67" t="str">
        <v>Custom</v>
      </c>
      <c r="C67" t="str">
        <v>Over Speeding  in 50km/h blackspot</v>
      </c>
      <c r="D67" t="str">
        <v>Over Speeding  in 50km/h blackspot</v>
      </c>
      <c r="E67" t="e">
        <f>VLOOKUP(C:C,Sheet1!A:A,1,0)</f>
        <v>#N/A</v>
      </c>
      <c r="F67" t="str">
        <v>Road speed</v>
      </c>
      <c r="G67" t="str">
        <v>Speed</v>
      </c>
      <c r="H67" t="str">
        <v>km/h</v>
      </c>
      <c r="I67" t="str">
        <v>A3522792081055458809</v>
      </c>
      <c r="J67" t="str">
        <v>LafargeHolcim - Kenya</v>
      </c>
      <c r="K67" t="str">
        <v>OrganisationGroup</v>
      </c>
      <c r="L67" t="str">
        <v>E. Africa Standard Time</v>
      </c>
      <c r="M67">
        <v>0</v>
      </c>
    </row>
    <row r="68">
      <c r="A68" t="str">
        <v>A5402589027127622389</v>
      </c>
      <c r="B68" t="str">
        <v>Custom</v>
      </c>
      <c r="C68" t="str">
        <v>Roy Freewheeling</v>
      </c>
      <c r="D68" t="str">
        <v>Roy Freewheeling</v>
      </c>
      <c r="E68" t="e">
        <f>VLOOKUP(C:C,Sheet1!A:A,1,0)</f>
        <v>#N/A</v>
      </c>
      <c r="F68" t="str">
        <v>Road speed</v>
      </c>
      <c r="G68" t="str">
        <v>Speed</v>
      </c>
      <c r="H68" t="str">
        <v>km/h</v>
      </c>
      <c r="I68" t="str">
        <v>A3522792081055458809</v>
      </c>
      <c r="J68" t="str">
        <v>LafargeHolcim - Kenya</v>
      </c>
      <c r="K68" t="str">
        <v>OrganisationGroup</v>
      </c>
      <c r="L68" t="str">
        <v>E. Africa Standard Time</v>
      </c>
      <c r="M68">
        <v>0</v>
      </c>
    </row>
    <row r="69">
      <c r="A69" t="str">
        <v>A-2578790597554612556</v>
      </c>
      <c r="B69" t="str">
        <v>Custom</v>
      </c>
      <c r="C69" t="str">
        <v>xxxxxxxx1</v>
      </c>
      <c r="D69" t="str">
        <v>xxxxxxxx1</v>
      </c>
      <c r="E69" t="e">
        <f>VLOOKUP(C:C,Sheet1!A:A,1,0)</f>
        <v>#N/A</v>
      </c>
      <c r="F69" t="str">
        <v>Engine RPM</v>
      </c>
      <c r="G69" t="str">
        <v>Value</v>
      </c>
      <c r="H69" t="str">
        <v>RPM</v>
      </c>
      <c r="I69" t="str">
        <v>A3522792081055458809</v>
      </c>
      <c r="J69" t="str">
        <v>LafargeHolcim - Kenya</v>
      </c>
      <c r="K69" t="str">
        <v>OrganisationGroup</v>
      </c>
      <c r="L69" t="str">
        <v>E. Africa Standard Time</v>
      </c>
      <c r="M69">
        <v>0</v>
      </c>
    </row>
    <row r="70">
      <c r="A70" t="str">
        <v>A-2477034768303548257</v>
      </c>
      <c r="B70" t="str">
        <v>Custom</v>
      </c>
      <c r="C70" t="str">
        <v>Free wheeling Dealer Request</v>
      </c>
      <c r="D70" t="str">
        <v>Free wheeling Dealer Request</v>
      </c>
      <c r="E70" t="e">
        <f>VLOOKUP(C:C,Sheet1!A:A,1,0)</f>
        <v>#N/A</v>
      </c>
      <c r="F70" t="str">
        <v>RPM : Speed ratio</v>
      </c>
      <c r="G70" t="str">
        <v>Value</v>
      </c>
      <c r="I70" t="str">
        <v>A3522792081055458809</v>
      </c>
      <c r="J70" t="str">
        <v>LafargeHolcim - Kenya</v>
      </c>
      <c r="K70" t="str">
        <v>OrganisationGroup</v>
      </c>
      <c r="L70" t="str">
        <v>E. Africa Standard Time</v>
      </c>
      <c r="M70">
        <v>0</v>
      </c>
    </row>
    <row r="71">
      <c r="A71" t="str">
        <v>A-6716565128637927836</v>
      </c>
      <c r="B71" t="str">
        <v>Custom</v>
      </c>
      <c r="C71" t="str">
        <v>Diagnostic - RPM Signal Not Consistent</v>
      </c>
      <c r="D71" t="str">
        <v>Diagnostic - RPM Signal Not Consistent</v>
      </c>
      <c r="E71" t="e">
        <f>VLOOKUP(C:C,Sheet1!A:A,1,0)</f>
        <v>#N/A</v>
      </c>
      <c r="F71" t="str">
        <v>Engine RPM</v>
      </c>
      <c r="G71" t="str">
        <v>Value</v>
      </c>
      <c r="H71" t="str">
        <v>RPM</v>
      </c>
      <c r="I71" t="str">
        <v>A3522792081055458809</v>
      </c>
      <c r="J71" t="str">
        <v>LafargeHolcim - Kenya</v>
      </c>
      <c r="K71" t="str">
        <v>OrganisationGroup</v>
      </c>
      <c r="L71" t="str">
        <v>E. Africa Standard Time</v>
      </c>
      <c r="M71">
        <v>0</v>
      </c>
    </row>
    <row r="72">
      <c r="A72" t="str">
        <v>A6292352048352472592</v>
      </c>
      <c r="B72" t="str">
        <v>Custom</v>
      </c>
      <c r="C72" t="str">
        <v>Diagnostic - OS&gt;193Km/h</v>
      </c>
      <c r="D72" t="str">
        <v>Diagnostic - OS&gt;193Km/h</v>
      </c>
      <c r="E72" t="e">
        <f>VLOOKUP(C:C,Sheet1!A:A,1,0)</f>
        <v>#N/A</v>
      </c>
      <c r="F72" t="str">
        <v>Road speed</v>
      </c>
      <c r="G72" t="str">
        <v>Speed</v>
      </c>
      <c r="H72" t="str">
        <v>km/h</v>
      </c>
      <c r="I72" t="str">
        <v>A3522792081055458809</v>
      </c>
      <c r="J72" t="str">
        <v>LafargeHolcim - Kenya</v>
      </c>
      <c r="K72" t="str">
        <v>OrganisationGroup</v>
      </c>
      <c r="L72" t="str">
        <v>E. Africa Standard Time</v>
      </c>
      <c r="M72">
        <v>0</v>
      </c>
    </row>
    <row r="73">
      <c r="A73" t="str">
        <v>A-2095049333553194709</v>
      </c>
      <c r="B73" t="str">
        <v>Custom</v>
      </c>
      <c r="C73" t="str">
        <v>Diagnostic - OR&gt;7000RPM</v>
      </c>
      <c r="D73" t="str">
        <v>Diagnostic - OR&gt;7000RPM</v>
      </c>
      <c r="E73" t="e">
        <f>VLOOKUP(C:C,Sheet1!A:A,1,0)</f>
        <v>#N/A</v>
      </c>
      <c r="F73" t="str">
        <v>Engine RPM</v>
      </c>
      <c r="G73" t="str">
        <v>Value</v>
      </c>
      <c r="H73" t="str">
        <v>RPM</v>
      </c>
      <c r="I73" t="str">
        <v>A3522792081055458809</v>
      </c>
      <c r="J73" t="str">
        <v>LafargeHolcim - Kenya</v>
      </c>
      <c r="K73" t="str">
        <v>OrganisationGroup</v>
      </c>
      <c r="L73" t="str">
        <v>E. Africa Standard Time</v>
      </c>
      <c r="M73">
        <v>0</v>
      </c>
    </row>
    <row r="74">
      <c r="A74" t="str">
        <v>A-4125961257292659288</v>
      </c>
      <c r="B74" t="str">
        <v>Custom</v>
      </c>
      <c r="C74" t="str">
        <v>Diagnostic - HB&gt;20mph/s</v>
      </c>
      <c r="D74" t="str">
        <v>Diagnostic - HB&gt;20mph/s</v>
      </c>
      <c r="E74" t="e">
        <f>VLOOKUP(C:C,Sheet1!A:A,1,0)</f>
        <v>#N/A</v>
      </c>
      <c r="F74" t="str">
        <v>Deceleration</v>
      </c>
      <c r="G74" t="str">
        <v>Acceleration</v>
      </c>
      <c r="H74" t="str">
        <v>km/h/s</v>
      </c>
      <c r="I74" t="str">
        <v>A3522792081055458809</v>
      </c>
      <c r="J74" t="str">
        <v>LafargeHolcim - Kenya</v>
      </c>
      <c r="K74" t="str">
        <v>OrganisationGroup</v>
      </c>
      <c r="L74" t="str">
        <v>E. Africa Standard Time</v>
      </c>
      <c r="M74">
        <v>0</v>
      </c>
    </row>
    <row r="75">
      <c r="A75" t="str">
        <v>A2733590450609003270</v>
      </c>
      <c r="B75" t="str">
        <v>Custom</v>
      </c>
      <c r="C75" t="str">
        <v>Diagnostic - HA&gt;20mph/s</v>
      </c>
      <c r="D75" t="str">
        <v>Diagnostic - HA&gt;20mph/s</v>
      </c>
      <c r="E75" t="e">
        <f>VLOOKUP(C:C,Sheet1!A:A,1,0)</f>
        <v>#N/A</v>
      </c>
      <c r="F75" t="str">
        <v>Acceleration</v>
      </c>
      <c r="G75" t="str">
        <v>Acceleration</v>
      </c>
      <c r="H75" t="str">
        <v>km/h/s</v>
      </c>
      <c r="I75" t="str">
        <v>A3522792081055458809</v>
      </c>
      <c r="J75" t="str">
        <v>LafargeHolcim - Kenya</v>
      </c>
      <c r="K75" t="str">
        <v>OrganisationGroup</v>
      </c>
      <c r="L75" t="str">
        <v>E. Africa Standard Time</v>
      </c>
      <c r="M75">
        <v>0</v>
      </c>
    </row>
    <row r="76">
      <c r="A76" t="str">
        <v>A-5081183979529436664</v>
      </c>
      <c r="B76" t="str">
        <v>Custom</v>
      </c>
      <c r="C76" t="str">
        <v>Diagnostic - CAN drop</v>
      </c>
      <c r="D76" t="str">
        <v>Diagnostic - CAN drop</v>
      </c>
      <c r="E76" t="e">
        <f>VLOOKUP(C:C,Sheet1!A:A,1,0)</f>
        <v>#N/A</v>
      </c>
      <c r="I76" t="str">
        <v>A3522792081055458809</v>
      </c>
      <c r="J76" t="str">
        <v>LafargeHolcim - Kenya</v>
      </c>
      <c r="K76" t="str">
        <v>OrganisationGroup</v>
      </c>
      <c r="L76" t="str">
        <v>E. Africa Standard Time</v>
      </c>
      <c r="M76">
        <v>0</v>
      </c>
    </row>
    <row r="77">
      <c r="A77" t="str">
        <v>A3793113935284428045</v>
      </c>
      <c r="B77" t="str">
        <v>Custom</v>
      </c>
      <c r="C77" t="str">
        <v>3 Axis Cornering G Force - High sens HGV</v>
      </c>
      <c r="D77" t="str">
        <v>3 Axis Cornering G Force - High sens HGV</v>
      </c>
      <c r="E77" t="e">
        <f>VLOOKUP(C:C,Sheet1!A:A,1,0)</f>
        <v>#N/A</v>
      </c>
      <c r="F77" t="str">
        <v>Cornering G-Force (High Sensitivity)</v>
      </c>
      <c r="G77" t="str">
        <v>Value</v>
      </c>
      <c r="H77" t="str">
        <v>G</v>
      </c>
      <c r="I77" t="str">
        <v>A3522792081055458809</v>
      </c>
      <c r="J77" t="str">
        <v>LafargeHolcim - Kenya</v>
      </c>
      <c r="K77" t="str">
        <v>OrganisationGroup</v>
      </c>
      <c r="L77" t="str">
        <v>E. Africa Standard Time</v>
      </c>
      <c r="M77">
        <v>0</v>
      </c>
    </row>
    <row r="78">
      <c r="A78" t="str">
        <v>A-5739972716192945009</v>
      </c>
      <c r="B78" t="str">
        <v>Custom</v>
      </c>
      <c r="C78" t="str">
        <v>3 Axis Accident Potential Rollover</v>
      </c>
      <c r="D78" t="str">
        <v>3 Axis Accident Potential Rollover</v>
      </c>
      <c r="E78" t="e">
        <f>VLOOKUP(C:C,Sheet1!A:A,1,0)</f>
        <v>#N/A</v>
      </c>
      <c r="F78" t="str">
        <v>3-Axis Impact Severity</v>
      </c>
      <c r="G78" t="str">
        <v>Value</v>
      </c>
      <c r="H78" t="str">
        <v>g</v>
      </c>
      <c r="I78" t="str">
        <v>A3522792081055458809</v>
      </c>
      <c r="J78" t="str">
        <v>LafargeHolcim - Kenya</v>
      </c>
      <c r="K78" t="str">
        <v>OrganisationGroup</v>
      </c>
      <c r="L78" t="str">
        <v>E. Africa Standard Time</v>
      </c>
      <c r="M78">
        <v>0</v>
      </c>
    </row>
    <row r="79">
      <c r="A79" t="str">
        <v>A-1909421187338726171</v>
      </c>
      <c r="B79" t="str">
        <v>Custom</v>
      </c>
      <c r="C79" t="str">
        <v>Anti_Tamper Box Opened</v>
      </c>
      <c r="D79" t="str">
        <v>Anti_Tamper Box Opened</v>
      </c>
      <c r="E79" t="e">
        <f>VLOOKUP(C:C,Sheet1!A:A,1,0)</f>
        <v>#N/A</v>
      </c>
      <c r="F79" t="str">
        <v>Road speed</v>
      </c>
      <c r="G79" t="str">
        <v>Speed</v>
      </c>
      <c r="H79" t="str">
        <v>km/h</v>
      </c>
      <c r="I79" t="str">
        <v>A3522792081055458809</v>
      </c>
      <c r="J79" t="str">
        <v>LafargeHolcim - Kenya</v>
      </c>
      <c r="K79" t="str">
        <v>OrganisationGroup</v>
      </c>
      <c r="L79" t="str">
        <v>E. Africa Standard Time</v>
      </c>
      <c r="M79">
        <v>0</v>
      </c>
    </row>
    <row r="80">
      <c r="A80" t="str">
        <v>A7253295077559356469</v>
      </c>
      <c r="B80" t="str">
        <v>Custom</v>
      </c>
      <c r="C80" t="str">
        <v>Speeding Pre-warning at 70KM/h</v>
      </c>
      <c r="D80" t="str">
        <v>Speeding Pre-warning at 70KM/h</v>
      </c>
      <c r="E80" t="e">
        <f>VLOOKUP(C:C,Sheet1!A:A,1,0)</f>
        <v>#N/A</v>
      </c>
      <c r="F80" t="str">
        <v>Road speed</v>
      </c>
      <c r="G80" t="str">
        <v>Speed</v>
      </c>
      <c r="H80" t="str">
        <v>km/h</v>
      </c>
      <c r="I80" t="str">
        <v>A3522792081055458809</v>
      </c>
      <c r="J80" t="str">
        <v>LafargeHolcim - Kenya</v>
      </c>
      <c r="K80" t="str">
        <v>OrganisationGroup</v>
      </c>
      <c r="L80" t="str">
        <v>E. Africa Standard Time</v>
      </c>
      <c r="M80">
        <v>0</v>
      </c>
    </row>
    <row r="81">
      <c r="A81" t="str">
        <v>A-4187945309416608019</v>
      </c>
      <c r="B81" t="str">
        <v>Custom</v>
      </c>
      <c r="C81" t="str">
        <v>Security - Panic Button Triggered</v>
      </c>
      <c r="D81" t="str">
        <v>Security - Panic Button Triggered</v>
      </c>
      <c r="E81" t="e">
        <f>VLOOKUP(C:C,Sheet1!A:A,1,0)</f>
        <v>#N/A</v>
      </c>
      <c r="I81" t="str">
        <v>A3522792081055458809</v>
      </c>
      <c r="J81" t="str">
        <v>LafargeHolcim - Kenya</v>
      </c>
      <c r="K81" t="str">
        <v>OrganisationGroup</v>
      </c>
      <c r="L81" t="str">
        <v>E. Africa Standard Time</v>
      </c>
      <c r="M81">
        <v>0</v>
      </c>
    </row>
    <row r="82">
      <c r="A82" t="str">
        <v>A5289818696450694995</v>
      </c>
      <c r="B82" t="str">
        <v>Custom</v>
      </c>
      <c r="C82" t="str">
        <v>Over Speeding Excessively</v>
      </c>
      <c r="D82" t="str">
        <v>Over Speeding Excessively</v>
      </c>
      <c r="E82" t="e">
        <f>VLOOKUP(C:C,Sheet1!A:A,1,0)</f>
        <v>#N/A</v>
      </c>
      <c r="I82" t="str">
        <v>A3522792081055458809</v>
      </c>
      <c r="J82" t="str">
        <v>LafargeHolcim - Kenya</v>
      </c>
      <c r="K82" t="str">
        <v>OrganisationGroup</v>
      </c>
      <c r="L82" t="str">
        <v>E. Africa Standard Time</v>
      </c>
      <c r="M82">
        <v>0</v>
      </c>
    </row>
    <row r="83">
      <c r="A83" t="str">
        <v>A-7402873383925052481</v>
      </c>
      <c r="B83" t="str">
        <v>Custom</v>
      </c>
      <c r="C83" t="str">
        <v>harsh Braking at speed &gt;60 Km/h</v>
      </c>
      <c r="D83" t="str">
        <v>harsh Braking at speed &gt;60 Km/h</v>
      </c>
      <c r="E83" t="e">
        <f>VLOOKUP(C:C,Sheet1!A:A,1,0)</f>
        <v>#N/A</v>
      </c>
      <c r="F83" t="str">
        <v>Road speed</v>
      </c>
      <c r="G83" t="str">
        <v>Speed</v>
      </c>
      <c r="H83" t="str">
        <v>km/h</v>
      </c>
      <c r="I83" t="str">
        <v>A3522792081055458809</v>
      </c>
      <c r="J83" t="str">
        <v>LafargeHolcim - Kenya</v>
      </c>
      <c r="K83" t="str">
        <v>OrganisationGroup</v>
      </c>
      <c r="L83" t="str">
        <v>E. Africa Standard Time</v>
      </c>
      <c r="M83">
        <v>0</v>
      </c>
    </row>
    <row r="84">
      <c r="A84" t="str">
        <v>A-7876342929563404713</v>
      </c>
      <c r="B84" t="str">
        <v>Custom</v>
      </c>
      <c r="C84" t="str">
        <v>Over Speeding &gt;75KM/H</v>
      </c>
      <c r="D84" t="str">
        <v>Over Speeding &gt;75KM/H</v>
      </c>
      <c r="E84" t="e">
        <f>VLOOKUP(C:C,Sheet1!A:A,1,0)</f>
        <v>#N/A</v>
      </c>
      <c r="F84" t="str">
        <v>Road speed</v>
      </c>
      <c r="G84" t="str">
        <v>Speed</v>
      </c>
      <c r="H84" t="str">
        <v>km/h</v>
      </c>
      <c r="I84" t="str">
        <v>A3522792081055458809</v>
      </c>
      <c r="J84" t="str">
        <v>LafargeHolcim - Kenya</v>
      </c>
      <c r="K84" t="str">
        <v>OrganisationGroup</v>
      </c>
      <c r="L84" t="str">
        <v>E. Africa Standard Time</v>
      </c>
      <c r="M84">
        <v>0</v>
      </c>
    </row>
    <row r="85">
      <c r="A85" t="str">
        <v>A-4792286334057892122</v>
      </c>
      <c r="B85" t="str">
        <v>Custom</v>
      </c>
      <c r="C85" t="str">
        <v>Harsh Braking Excessively</v>
      </c>
      <c r="D85" t="str">
        <v>Harsh Braking Excessively</v>
      </c>
      <c r="E85" t="e">
        <f>VLOOKUP(C:C,Sheet1!A:A,1,0)</f>
        <v>#N/A</v>
      </c>
      <c r="I85" t="str">
        <v>A3522792081055458809</v>
      </c>
      <c r="J85" t="str">
        <v>LafargeHolcim - Kenya</v>
      </c>
      <c r="K85" t="str">
        <v>OrganisationGroup</v>
      </c>
      <c r="L85" t="str">
        <v>E. Africa Standard Time</v>
      </c>
      <c r="M85">
        <v>0</v>
      </c>
    </row>
    <row r="86">
      <c r="A86" t="str">
        <v>A1817360798529955493</v>
      </c>
      <c r="B86" t="str">
        <v>Custom</v>
      </c>
      <c r="C86" t="str">
        <v>Harsh Accelerating Excessively</v>
      </c>
      <c r="D86" t="str">
        <v>Harsh Accelerating Excessively</v>
      </c>
      <c r="E86" t="e">
        <f>VLOOKUP(C:C,Sheet1!A:A,1,0)</f>
        <v>#N/A</v>
      </c>
      <c r="I86" t="str">
        <v>A3522792081055458809</v>
      </c>
      <c r="J86" t="str">
        <v>LafargeHolcim - Kenya</v>
      </c>
      <c r="K86" t="str">
        <v>OrganisationGroup</v>
      </c>
      <c r="L86" t="str">
        <v>E. Africa Standard Time</v>
      </c>
      <c r="M86">
        <v>0</v>
      </c>
    </row>
    <row r="87">
      <c r="A87" t="str">
        <v>A7095399949911415135</v>
      </c>
      <c r="B87" t="str">
        <v>Custom</v>
      </c>
      <c r="C87" t="str">
        <v>Night Driving</v>
      </c>
      <c r="D87" t="str">
        <v>Night Driving</v>
      </c>
      <c r="E87" t="str">
        <v>Night Driving</v>
      </c>
      <c r="I87" t="str">
        <v>A3522792081055458809</v>
      </c>
      <c r="J87" t="str">
        <v>LafargeHolcim - Kenya</v>
      </c>
      <c r="K87" t="str">
        <v>OrganisationGroup</v>
      </c>
      <c r="L87" t="str">
        <v>E. Africa Standard Time</v>
      </c>
      <c r="M87">
        <v>1</v>
      </c>
    </row>
    <row r="88">
      <c r="A88" t="str">
        <v>A1897678372129715118</v>
      </c>
      <c r="B88" t="str">
        <v>Custom</v>
      </c>
      <c r="C88" t="str">
        <v>Exceeding 4 Hours Driving With Out 30 mins Rest</v>
      </c>
      <c r="D88" t="str">
        <v>Exceeding 4 Hours Driving With Out 30 mins Rest</v>
      </c>
      <c r="E88" t="e">
        <f>VLOOKUP(C:C,Sheet1!A:A,1,0)</f>
        <v>#N/A</v>
      </c>
      <c r="I88" t="str">
        <v>A3522792081055458809</v>
      </c>
      <c r="J88" t="str">
        <v>LafargeHolcim - Kenya</v>
      </c>
      <c r="K88" t="str">
        <v>OrganisationGroup</v>
      </c>
      <c r="L88" t="str">
        <v>E. Africa Standard Time</v>
      </c>
      <c r="M88">
        <v>0</v>
      </c>
    </row>
    <row r="89">
      <c r="A89" t="str">
        <v>A6616046499276681791</v>
      </c>
      <c r="B89" t="str">
        <v>Custom</v>
      </c>
      <c r="C89" t="str">
        <v>Entered NoGoZone</v>
      </c>
      <c r="D89" t="str">
        <v>Entered NoGoZone</v>
      </c>
      <c r="E89" t="e">
        <f>VLOOKUP(C:C,Sheet1!A:A,1,0)</f>
        <v>#N/A</v>
      </c>
      <c r="I89" t="str">
        <v>A3522792081055458809</v>
      </c>
      <c r="J89" t="str">
        <v>LafargeHolcim - Kenya</v>
      </c>
      <c r="K89" t="str">
        <v>OrganisationGroup</v>
      </c>
      <c r="L89" t="str">
        <v>E. Africa Standard Time</v>
      </c>
      <c r="M89">
        <v>0</v>
      </c>
    </row>
    <row r="90">
      <c r="A90" t="str">
        <v>A3263424054129349983</v>
      </c>
      <c r="B90" t="str">
        <v>Custom</v>
      </c>
      <c r="C90" t="str">
        <v>DI: RS Exception</v>
      </c>
      <c r="D90" t="str">
        <v>DI: RS Exception</v>
      </c>
      <c r="E90" t="e">
        <f>VLOOKUP(C:C,Sheet1!A:A,1,0)</f>
        <v>#N/A</v>
      </c>
      <c r="I90" t="str">
        <v>A3522792081055458809</v>
      </c>
      <c r="J90" t="str">
        <v>LafargeHolcim - Kenya</v>
      </c>
      <c r="K90" t="str">
        <v>OrganisationGroup</v>
      </c>
      <c r="L90" t="str">
        <v>E. Africa Standard Time</v>
      </c>
      <c r="M90">
        <v>0</v>
      </c>
    </row>
    <row r="91">
      <c r="A91" t="str">
        <v>A-4840347806356635764</v>
      </c>
      <c r="B91" t="str">
        <v>Custom</v>
      </c>
      <c r="C91" t="str">
        <v>DI: Driving without Blue Driver Key</v>
      </c>
      <c r="D91" t="str">
        <v>DI: Driving without Blue Driver Key</v>
      </c>
      <c r="E91" t="e">
        <f>VLOOKUP(C:C,Sheet1!A:A,1,0)</f>
        <v>#N/A</v>
      </c>
      <c r="I91" t="str">
        <v>A3522792081055458809</v>
      </c>
      <c r="J91" t="str">
        <v>LafargeHolcim - Kenya</v>
      </c>
      <c r="K91" t="str">
        <v>OrganisationGroup</v>
      </c>
      <c r="L91" t="str">
        <v>E. Africa Standard Time</v>
      </c>
      <c r="M91">
        <v>0</v>
      </c>
    </row>
    <row r="92">
      <c r="A92" t="str">
        <v>A6414670126238339527</v>
      </c>
      <c r="B92" t="str">
        <v>Custom</v>
      </c>
      <c r="C92" t="str">
        <v>Battery Voltage - Connection Diagnostic</v>
      </c>
      <c r="D92" t="str">
        <v>Battery Voltage - Connection Diagnostic</v>
      </c>
      <c r="E92" t="e">
        <f>VLOOKUP(C:C,Sheet1!A:A,1,0)</f>
        <v>#N/A</v>
      </c>
      <c r="I92" t="str">
        <v>A3522792081055458809</v>
      </c>
      <c r="J92" t="str">
        <v>LafargeHolcim - Kenya</v>
      </c>
      <c r="K92" t="str">
        <v>OrganisationGroup</v>
      </c>
      <c r="L92" t="str">
        <v>E. Africa Standard Time</v>
      </c>
      <c r="M92">
        <v>0</v>
      </c>
    </row>
    <row r="93">
      <c r="A93" t="str">
        <v>A1407443629308506112</v>
      </c>
      <c r="B93" t="str">
        <v>ServerSide</v>
      </c>
      <c r="C93" t="str">
        <v>ARO - Texas Petrol Station Turn No Go Zone</v>
      </c>
      <c r="D93" t="str">
        <v>ARO - Texas Petrol Station Turn No Go Zone</v>
      </c>
      <c r="E93" t="e">
        <f>VLOOKUP(C:C,Sheet1!A:A,1,0)</f>
        <v>#N/A</v>
      </c>
      <c r="F93" t="str">
        <v>Road speed</v>
      </c>
      <c r="G93" t="str">
        <v>Speed</v>
      </c>
      <c r="H93" t="str">
        <v>km/h</v>
      </c>
      <c r="I93" t="str">
        <v>A3522792081055458809</v>
      </c>
      <c r="J93" t="str">
        <v>LafargeHolcim - Kenya</v>
      </c>
      <c r="K93" t="str">
        <v>OrganisationGroup</v>
      </c>
      <c r="L93" t="str">
        <v>E. Africa Standard Time</v>
      </c>
      <c r="M93">
        <v>0</v>
      </c>
    </row>
    <row r="94">
      <c r="A94" t="str">
        <v>A1376965939626172416</v>
      </c>
      <c r="B94" t="str">
        <v>ServerSide</v>
      </c>
      <c r="C94" t="str">
        <v>Makongo Escarpment Speed zone</v>
      </c>
      <c r="D94" t="str">
        <v>Makongo Escarpment Speed zone</v>
      </c>
      <c r="E94" t="e">
        <f>VLOOKUP(C:C,Sheet1!A:A,1,0)</f>
        <v>#N/A</v>
      </c>
      <c r="F94" t="str">
        <v>Road speed</v>
      </c>
      <c r="G94" t="str">
        <v>Speed</v>
      </c>
      <c r="H94" t="str">
        <v>km/h</v>
      </c>
      <c r="I94" t="str">
        <v>A3522792081055458809</v>
      </c>
      <c r="J94" t="str">
        <v>LafargeHolcim - Kenya</v>
      </c>
      <c r="K94" t="str">
        <v>OrganisationGroup</v>
      </c>
      <c r="L94" t="str">
        <v>E. Africa Standard Time</v>
      </c>
      <c r="M94">
        <v>0</v>
      </c>
    </row>
    <row r="95">
      <c r="A95" t="str">
        <v>A1361017860174958592</v>
      </c>
      <c r="B95" t="str">
        <v>ServerSide</v>
      </c>
      <c r="C95" t="str">
        <v>ARO 40km/hr Overspeeding Zone</v>
      </c>
      <c r="D95" t="str">
        <v>ARO 40km/hr Overspeeding Zone</v>
      </c>
      <c r="E95" t="e">
        <f>VLOOKUP(C:C,Sheet1!A:A,1,0)</f>
        <v>#N/A</v>
      </c>
      <c r="F95" t="str">
        <v>Road speed</v>
      </c>
      <c r="G95" t="str">
        <v>Speed</v>
      </c>
      <c r="H95" t="str">
        <v>km/h</v>
      </c>
      <c r="I95" t="str">
        <v>A3522792081055458809</v>
      </c>
      <c r="J95" t="str">
        <v>LafargeHolcim - Kenya</v>
      </c>
      <c r="K95" t="str">
        <v>OrganisationGroup</v>
      </c>
      <c r="L95" t="str">
        <v>E. Africa Standard Time</v>
      </c>
      <c r="M95">
        <v>0</v>
      </c>
    </row>
    <row r="96">
      <c r="A96" t="str">
        <v>A1334304047096541184</v>
      </c>
      <c r="B96" t="str">
        <v>ServerSide</v>
      </c>
      <c r="C96" t="str">
        <v>ARO truck out of Geofenced Route</v>
      </c>
      <c r="D96" t="str">
        <v>ARO truck out of Geofenced Route</v>
      </c>
      <c r="E96" t="e">
        <f>VLOOKUP(C:C,Sheet1!A:A,1,0)</f>
        <v>#N/A</v>
      </c>
      <c r="F96" t="str">
        <v>At location</v>
      </c>
      <c r="G96" t="str">
        <v>Location</v>
      </c>
      <c r="I96" t="str">
        <v>A3522792081055458809</v>
      </c>
      <c r="J96" t="str">
        <v>LafargeHolcim - Kenya</v>
      </c>
      <c r="K96" t="str">
        <v>OrganisationGroup</v>
      </c>
      <c r="L96" t="str">
        <v>E. Africa Standard Time</v>
      </c>
      <c r="M96">
        <v>0</v>
      </c>
    </row>
    <row r="97">
      <c r="A97" t="str">
        <v>A1321897085605588992</v>
      </c>
      <c r="B97" t="str">
        <v>ServerSide</v>
      </c>
      <c r="C97" t="str">
        <v>Siginon Overspeeding at 75km/hr Buzzer</v>
      </c>
      <c r="D97" t="str">
        <v>Siginon Overspeeding at 75km/hr Buzzer</v>
      </c>
      <c r="E97" t="e">
        <f>VLOOKUP(C:C,Sheet1!A:A,1,0)</f>
        <v>#N/A</v>
      </c>
      <c r="F97" t="str">
        <v>At location</v>
      </c>
      <c r="G97" t="str">
        <v>Location</v>
      </c>
      <c r="I97" t="str">
        <v>A3522792081055458809</v>
      </c>
      <c r="J97" t="str">
        <v>LafargeHolcim - Kenya</v>
      </c>
      <c r="K97" t="str">
        <v>OrganisationGroup</v>
      </c>
      <c r="L97" t="str">
        <v>E. Africa Standard Time</v>
      </c>
      <c r="M97">
        <v>0</v>
      </c>
    </row>
    <row r="98">
      <c r="A98" t="str">
        <v>A1312196236659253248</v>
      </c>
      <c r="B98" t="str">
        <v>ServerSide</v>
      </c>
      <c r="C98" t="str">
        <v>Overspeeding above 40km/h in Rwanda</v>
      </c>
      <c r="D98" t="str">
        <v>Overspeeding above 40km/h in Rwanda</v>
      </c>
      <c r="E98" t="e">
        <f>VLOOKUP(C:C,Sheet1!A:A,1,0)</f>
        <v>#N/A</v>
      </c>
      <c r="F98" t="str">
        <v>Road speed</v>
      </c>
      <c r="G98" t="str">
        <v>Speed</v>
      </c>
      <c r="H98" t="str">
        <v>km/h</v>
      </c>
      <c r="I98" t="str">
        <v>A3522792081055458809</v>
      </c>
      <c r="J98" t="str">
        <v>LafargeHolcim - Kenya</v>
      </c>
      <c r="K98" t="str">
        <v>OrganisationGroup</v>
      </c>
      <c r="L98" t="str">
        <v>E. Africa Standard Time</v>
      </c>
      <c r="M98">
        <v>0</v>
      </c>
    </row>
    <row r="99">
      <c r="A99" t="str">
        <v>A1245918267023089664</v>
      </c>
      <c r="B99" t="str">
        <v>ServerSide</v>
      </c>
      <c r="C99" t="str">
        <v>Trucks at Port</v>
      </c>
      <c r="D99" t="str">
        <v>Trucks at Port</v>
      </c>
      <c r="E99" t="e">
        <f>VLOOKUP(C:C,Sheet1!A:A,1,0)</f>
        <v>#N/A</v>
      </c>
      <c r="F99" t="str">
        <v>At location</v>
      </c>
      <c r="G99" t="str">
        <v>Location</v>
      </c>
      <c r="I99" t="str">
        <v>A3522792081055458809</v>
      </c>
      <c r="J99" t="str">
        <v>LafargeHolcim - Kenya</v>
      </c>
      <c r="K99" t="str">
        <v>OrganisationGroup</v>
      </c>
      <c r="L99" t="str">
        <v>E. Africa Standard Time</v>
      </c>
      <c r="M99">
        <v>0</v>
      </c>
    </row>
    <row r="100">
      <c r="A100" t="str">
        <v>A1245917735596765184</v>
      </c>
      <c r="B100" t="str">
        <v>ServerSide</v>
      </c>
      <c r="C100" t="str">
        <v>Trucks at Bamburi</v>
      </c>
      <c r="D100" t="str">
        <v>Trucks at Bamburi</v>
      </c>
      <c r="E100" t="e">
        <f>VLOOKUP(C:C,Sheet1!A:A,1,0)</f>
        <v>#N/A</v>
      </c>
      <c r="F100" t="str">
        <v>At location</v>
      </c>
      <c r="G100" t="str">
        <v>Location</v>
      </c>
      <c r="I100" t="str">
        <v>A3522792081055458809</v>
      </c>
      <c r="J100" t="str">
        <v>LafargeHolcim - Kenya</v>
      </c>
      <c r="K100" t="str">
        <v>OrganisationGroup</v>
      </c>
      <c r="L100" t="str">
        <v>E. Africa Standard Time</v>
      </c>
      <c r="M100">
        <v>0</v>
      </c>
    </row>
    <row r="101">
      <c r="A101" t="str">
        <v>A1245916595359117312</v>
      </c>
      <c r="B101" t="str">
        <v>ServerSide</v>
      </c>
      <c r="C101" t="str">
        <v>Trucks enroute to Port</v>
      </c>
      <c r="D101" t="str">
        <v>Trucks enroute to Port</v>
      </c>
      <c r="E101" t="e">
        <f>VLOOKUP(C:C,Sheet1!A:A,1,0)</f>
        <v>#N/A</v>
      </c>
      <c r="F101" t="str">
        <v>At location</v>
      </c>
      <c r="G101" t="str">
        <v>Location</v>
      </c>
      <c r="I101" t="str">
        <v>A3522792081055458809</v>
      </c>
      <c r="J101" t="str">
        <v>LafargeHolcim - Kenya</v>
      </c>
      <c r="K101" t="str">
        <v>OrganisationGroup</v>
      </c>
      <c r="L101" t="str">
        <v>E. Africa Standard Time</v>
      </c>
      <c r="M101">
        <v>0</v>
      </c>
    </row>
    <row r="102">
      <c r="A102" t="str">
        <v>A1245916288813162496</v>
      </c>
      <c r="B102" t="str">
        <v>ServerSide</v>
      </c>
      <c r="C102" t="str">
        <v>Trucks enroute to Bamburi</v>
      </c>
      <c r="D102" t="str">
        <v>Trucks enroute to Bamburi</v>
      </c>
      <c r="E102" t="e">
        <f>VLOOKUP(C:C,Sheet1!A:A,1,0)</f>
        <v>#N/A</v>
      </c>
      <c r="F102" t="str">
        <v>At location</v>
      </c>
      <c r="G102" t="str">
        <v>Location</v>
      </c>
      <c r="I102" t="str">
        <v>A3522792081055458809</v>
      </c>
      <c r="J102" t="str">
        <v>LafargeHolcim - Kenya</v>
      </c>
      <c r="K102" t="str">
        <v>OrganisationGroup</v>
      </c>
      <c r="L102" t="str">
        <v>E. Africa Standard Time</v>
      </c>
      <c r="M102">
        <v>0</v>
      </c>
    </row>
    <row r="103">
      <c r="A103" t="str">
        <v>A1244380753922129920</v>
      </c>
      <c r="B103" t="str">
        <v>ServerSide</v>
      </c>
      <c r="C103" t="str">
        <v>Malawanza Exit</v>
      </c>
      <c r="D103" t="str">
        <v>Malawanza Exit</v>
      </c>
      <c r="E103" t="e">
        <f>VLOOKUP(C:C,Sheet1!A:A,1,0)</f>
        <v>#N/A</v>
      </c>
      <c r="F103" t="str">
        <v>At location</v>
      </c>
      <c r="G103" t="str">
        <v>Location</v>
      </c>
      <c r="I103" t="str">
        <v>A3522792081055458809</v>
      </c>
      <c r="J103" t="str">
        <v>LafargeHolcim - Kenya</v>
      </c>
      <c r="K103" t="str">
        <v>OrganisationGroup</v>
      </c>
      <c r="L103" t="str">
        <v>E. Africa Standard Time</v>
      </c>
      <c r="M103">
        <v>0</v>
      </c>
    </row>
    <row r="104">
      <c r="A104" t="str">
        <v>A1244380497453801472</v>
      </c>
      <c r="B104" t="str">
        <v>ServerSide</v>
      </c>
      <c r="C104" t="str">
        <v>Malawanza Entry</v>
      </c>
      <c r="D104" t="str">
        <v>Malawanza Entry</v>
      </c>
      <c r="E104" t="e">
        <f>VLOOKUP(C:C,Sheet1!A:A,1,0)</f>
        <v>#N/A</v>
      </c>
      <c r="F104" t="str">
        <v>At location</v>
      </c>
      <c r="G104" t="str">
        <v>Location</v>
      </c>
      <c r="I104" t="str">
        <v>A3522792081055458809</v>
      </c>
      <c r="J104" t="str">
        <v>LafargeHolcim - Kenya</v>
      </c>
      <c r="K104" t="str">
        <v>OrganisationGroup</v>
      </c>
      <c r="L104" t="str">
        <v>E. Africa Standard Time</v>
      </c>
      <c r="M104">
        <v>0</v>
      </c>
    </row>
    <row r="105">
      <c r="A105" t="str">
        <v>A1241446016875474944</v>
      </c>
      <c r="B105" t="str">
        <v>ServerSide</v>
      </c>
      <c r="C105" t="str">
        <v>KAMEMBE TO HUYE Over Speeding above 40kph</v>
      </c>
      <c r="D105" t="str">
        <v>KAMEMBE TO HUYE Over Speeding above 40kph</v>
      </c>
      <c r="E105" t="e">
        <f>VLOOKUP(C:C,Sheet1!A:A,1,0)</f>
        <v>#N/A</v>
      </c>
      <c r="F105" t="str">
        <v>Road speed</v>
      </c>
      <c r="G105" t="str">
        <v>Speed</v>
      </c>
      <c r="H105" t="str">
        <v>km/h</v>
      </c>
      <c r="I105" t="str">
        <v>A3522792081055458809</v>
      </c>
      <c r="J105" t="str">
        <v>LafargeHolcim - Kenya</v>
      </c>
      <c r="K105" t="str">
        <v>OrganisationGroup</v>
      </c>
      <c r="L105" t="str">
        <v>E. Africa Standard Time</v>
      </c>
      <c r="M105">
        <v>0</v>
      </c>
    </row>
    <row r="106">
      <c r="A106" t="str">
        <v>A1227307258502483968</v>
      </c>
      <c r="B106" t="str">
        <v>ServerSide</v>
      </c>
      <c r="C106" t="str">
        <v>Ngurunga Stretch 30km/h Over speeding</v>
      </c>
      <c r="D106" t="str">
        <v>Ngurunga Stretch 30km/h Over speeding</v>
      </c>
      <c r="E106" t="e">
        <f>VLOOKUP(C:C,Sheet1!A:A,1,0)</f>
        <v>#N/A</v>
      </c>
      <c r="F106" t="str">
        <v>Road speed</v>
      </c>
      <c r="G106" t="str">
        <v>Speed</v>
      </c>
      <c r="H106" t="str">
        <v>km/h</v>
      </c>
      <c r="I106" t="str">
        <v>A3522792081055458809</v>
      </c>
      <c r="J106" t="str">
        <v>LafargeHolcim - Kenya</v>
      </c>
      <c r="K106" t="str">
        <v>OrganisationGroup</v>
      </c>
      <c r="L106" t="str">
        <v>E. Africa Standard Time</v>
      </c>
      <c r="M106">
        <v>0</v>
      </c>
    </row>
    <row r="107">
      <c r="A107" t="str">
        <v>A1221520189075103744</v>
      </c>
      <c r="B107" t="str">
        <v>ServerSide</v>
      </c>
      <c r="C107" t="str">
        <v>Crown Bamburi Plant Entry Alert</v>
      </c>
      <c r="D107" t="str">
        <v>Crown Bamburi Plant Entry Alert</v>
      </c>
      <c r="E107" t="e">
        <f>VLOOKUP(C:C,Sheet1!A:A,1,0)</f>
        <v>#N/A</v>
      </c>
      <c r="F107" t="str">
        <v>At location</v>
      </c>
      <c r="G107" t="str">
        <v>Location</v>
      </c>
      <c r="I107" t="str">
        <v>A3522792081055458809</v>
      </c>
      <c r="J107" t="str">
        <v>LafargeHolcim - Kenya</v>
      </c>
      <c r="K107" t="str">
        <v>OrganisationGroup</v>
      </c>
      <c r="L107" t="str">
        <v>E. Africa Standard Time</v>
      </c>
      <c r="M107">
        <v>0</v>
      </c>
    </row>
    <row r="108">
      <c r="A108" t="str">
        <v>A1194790550779969536</v>
      </c>
      <c r="B108" t="str">
        <v>ServerSide</v>
      </c>
      <c r="C108" t="str">
        <v>40KM/hr Blackspot Quarry Alert</v>
      </c>
      <c r="D108" t="str">
        <v>40KM/hr Blackspot Quarry Alert</v>
      </c>
      <c r="E108" t="e">
        <f>VLOOKUP(C:C,Sheet1!A:A,1,0)</f>
        <v>#N/A</v>
      </c>
      <c r="F108" t="str">
        <v>Road speed</v>
      </c>
      <c r="G108" t="str">
        <v>Speed</v>
      </c>
      <c r="H108" t="str">
        <v>km/h</v>
      </c>
      <c r="I108" t="str">
        <v>A3522792081055458809</v>
      </c>
      <c r="J108" t="str">
        <v>LafargeHolcim - Kenya</v>
      </c>
      <c r="K108" t="str">
        <v>OrganisationGroup</v>
      </c>
      <c r="L108" t="str">
        <v>E. Africa Standard Time</v>
      </c>
      <c r="M108">
        <v>0</v>
      </c>
    </row>
    <row r="109">
      <c r="A109" t="str">
        <v>A1221544059475730432</v>
      </c>
      <c r="B109" t="str">
        <v>ServerSide</v>
      </c>
      <c r="C109" t="str">
        <v>Crown Port Exit Alert</v>
      </c>
      <c r="D109" t="str">
        <v>Crown Port Exit Alert</v>
      </c>
      <c r="E109" t="e">
        <f>VLOOKUP(C:C,Sheet1!A:A,1,0)</f>
        <v>#N/A</v>
      </c>
      <c r="F109" t="str">
        <v>At location</v>
      </c>
      <c r="G109" t="str">
        <v>Location</v>
      </c>
      <c r="I109" t="str">
        <v>A3522792081055458809</v>
      </c>
      <c r="J109" t="str">
        <v>LafargeHolcim - Kenya</v>
      </c>
      <c r="K109" t="str">
        <v>OrganisationGroup</v>
      </c>
      <c r="L109" t="str">
        <v>E. Africa Standard Time</v>
      </c>
      <c r="M109">
        <v>0</v>
      </c>
    </row>
    <row r="110">
      <c r="A110" t="str">
        <v>A1191892314404540416</v>
      </c>
      <c r="B110" t="str">
        <v>ServerSide</v>
      </c>
      <c r="C110" t="str">
        <v>50Km/hr Blackspot Quarry Alerts</v>
      </c>
      <c r="D110" t="str">
        <v>50Km/hr Blackspot Quarry Alerts</v>
      </c>
      <c r="E110" t="e">
        <f>VLOOKUP(C:C,Sheet1!A:A,1,0)</f>
        <v>#N/A</v>
      </c>
      <c r="F110" t="str">
        <v>Road speed</v>
      </c>
      <c r="G110" t="str">
        <v>Speed</v>
      </c>
      <c r="H110" t="str">
        <v>km/h</v>
      </c>
      <c r="I110" t="str">
        <v>A3522792081055458809</v>
      </c>
      <c r="J110" t="str">
        <v>LafargeHolcim - Kenya</v>
      </c>
      <c r="K110" t="str">
        <v>OrganisationGroup</v>
      </c>
      <c r="L110" t="str">
        <v>E. Africa Standard Time</v>
      </c>
      <c r="M110">
        <v>0</v>
      </c>
    </row>
    <row r="111">
      <c r="A111" t="str">
        <v>A1134995401688576000</v>
      </c>
      <c r="B111" t="str">
        <v>ServerSide</v>
      </c>
      <c r="C111" t="str">
        <v>HV-Over speeding in 50km/hr Location</v>
      </c>
      <c r="D111" t="str">
        <v>HV-Over speeding in 50km/hr Location</v>
      </c>
      <c r="E111" t="e">
        <f>VLOOKUP(C:C,Sheet1!A:A,1,0)</f>
        <v>#N/A</v>
      </c>
      <c r="F111" t="str">
        <v>Road speed</v>
      </c>
      <c r="G111" t="str">
        <v>Speed</v>
      </c>
      <c r="H111" t="str">
        <v>km/h</v>
      </c>
      <c r="I111" t="str">
        <v>A3522792081055458809</v>
      </c>
      <c r="J111" t="str">
        <v>LafargeHolcim - Kenya</v>
      </c>
      <c r="K111" t="str">
        <v>OrganisationGroup</v>
      </c>
      <c r="L111" t="str">
        <v>E. Africa Standard Time</v>
      </c>
      <c r="M111">
        <v>0</v>
      </c>
    </row>
    <row r="112">
      <c r="A112" t="str">
        <v>A1124773912691040256</v>
      </c>
      <c r="B112" t="str">
        <v>ServerSide</v>
      </c>
      <c r="C112" t="str">
        <v>OML Tier 3 Overspeeding (20% OF ≥30KPH) at Ortum - Sebit Diversion</v>
      </c>
      <c r="D112" t="str">
        <v>OML Tier 3 Overspeeding (20% OF ≥30KPH) at Ortum - Sebit Diversion</v>
      </c>
      <c r="E112" t="e">
        <f>VLOOKUP(C:C,Sheet1!A:A,1,0)</f>
        <v>#N/A</v>
      </c>
      <c r="F112" t="str">
        <v>Road speed</v>
      </c>
      <c r="G112" t="str">
        <v>Speed</v>
      </c>
      <c r="H112" t="str">
        <v>km/h</v>
      </c>
      <c r="I112" t="str">
        <v>A3522792081055458809</v>
      </c>
      <c r="J112" t="str">
        <v>LafargeHolcim - Kenya</v>
      </c>
      <c r="K112" t="str">
        <v>OrganisationGroup</v>
      </c>
      <c r="L112" t="str">
        <v>E. Africa Standard Time</v>
      </c>
      <c r="M112">
        <v>0</v>
      </c>
    </row>
    <row r="113">
      <c r="A113" t="str">
        <v>A1124773082598584320</v>
      </c>
      <c r="B113" t="str">
        <v>ServerSide</v>
      </c>
      <c r="C113" t="str">
        <v>OML Tier 2 Overspeeding (10% of ≥30KPH) at Ortum - Sebit Diversion</v>
      </c>
      <c r="D113" t="str">
        <v>OML Tier 2 Overspeeding (10% of ≥30KPH) at Ortum - Sebit Diversion</v>
      </c>
      <c r="E113" t="e">
        <f>VLOOKUP(C:C,Sheet1!A:A,1,0)</f>
        <v>#N/A</v>
      </c>
      <c r="F113" t="str">
        <v>Road speed</v>
      </c>
      <c r="G113" t="str">
        <v>Speed</v>
      </c>
      <c r="H113" t="str">
        <v>km/h</v>
      </c>
      <c r="I113" t="str">
        <v>A3522792081055458809</v>
      </c>
      <c r="J113" t="str">
        <v>LafargeHolcim - Kenya</v>
      </c>
      <c r="K113" t="str">
        <v>OrganisationGroup</v>
      </c>
      <c r="L113" t="str">
        <v>E. Africa Standard Time</v>
      </c>
      <c r="M113">
        <v>0</v>
      </c>
    </row>
    <row r="114">
      <c r="A114" t="str">
        <v>A1124772019057307648</v>
      </c>
      <c r="B114" t="str">
        <v>ServerSide</v>
      </c>
      <c r="C114" t="str">
        <v>OML Tier 1 Overspeeding (≥30) at Ortum - Sebit Diversion</v>
      </c>
      <c r="D114" t="str">
        <v>OML Tier 1 Overspeeding (≥30) at Ortum - Sebit Diversion</v>
      </c>
      <c r="E114" t="e">
        <f>VLOOKUP(C:C,Sheet1!A:A,1,0)</f>
        <v>#N/A</v>
      </c>
      <c r="F114" t="str">
        <v>Road speed</v>
      </c>
      <c r="G114" t="str">
        <v>Speed</v>
      </c>
      <c r="H114" t="str">
        <v>km/h</v>
      </c>
      <c r="I114" t="str">
        <v>A3522792081055458809</v>
      </c>
      <c r="J114" t="str">
        <v>LafargeHolcim - Kenya</v>
      </c>
      <c r="K114" t="str">
        <v>OrganisationGroup</v>
      </c>
      <c r="L114" t="str">
        <v>E. Africa Standard Time</v>
      </c>
      <c r="M114">
        <v>0</v>
      </c>
    </row>
    <row r="115">
      <c r="A115" t="str">
        <v>A1124771559520972800</v>
      </c>
      <c r="B115" t="str">
        <v>ServerSide</v>
      </c>
      <c r="C115" t="str">
        <v>OML Tier 3 Overspeeding  ( ≥ 20% of 65KPH) at Timboroa zone</v>
      </c>
      <c r="D115" t="str">
        <v>OML Tier 3 Overspeeding  ( ≥ 20% of 65KPH) at Timboroa zone</v>
      </c>
      <c r="E115" t="e">
        <f>VLOOKUP(C:C,Sheet1!A:A,1,0)</f>
        <v>#N/A</v>
      </c>
      <c r="F115" t="str">
        <v>Road speed</v>
      </c>
      <c r="G115" t="str">
        <v>Speed</v>
      </c>
      <c r="H115" t="str">
        <v>km/h</v>
      </c>
      <c r="I115" t="str">
        <v>A3522792081055458809</v>
      </c>
      <c r="J115" t="str">
        <v>LafargeHolcim - Kenya</v>
      </c>
      <c r="K115" t="str">
        <v>OrganisationGroup</v>
      </c>
      <c r="L115" t="str">
        <v>E. Africa Standard Time</v>
      </c>
      <c r="M115">
        <v>0</v>
      </c>
    </row>
    <row r="116">
      <c r="A116" t="str">
        <v>A1124770377675157504</v>
      </c>
      <c r="B116" t="str">
        <v>ServerSide</v>
      </c>
      <c r="C116" t="str">
        <v>OML Tier 2 Overspeeding  ( ≥ 10% of 65KPH) at Timboroa Zone</v>
      </c>
      <c r="D116" t="str">
        <v>OML Tier 2 Overspeeding  ( ≥ 10% of 65KPH) at Timboroa Zone</v>
      </c>
      <c r="E116" t="e">
        <f>VLOOKUP(C:C,Sheet1!A:A,1,0)</f>
        <v>#N/A</v>
      </c>
      <c r="F116" t="str">
        <v>Road speed</v>
      </c>
      <c r="G116" t="str">
        <v>Speed</v>
      </c>
      <c r="H116" t="str">
        <v>km/h</v>
      </c>
      <c r="I116" t="str">
        <v>A3522792081055458809</v>
      </c>
      <c r="J116" t="str">
        <v>LafargeHolcim - Kenya</v>
      </c>
      <c r="K116" t="str">
        <v>OrganisationGroup</v>
      </c>
      <c r="L116" t="str">
        <v>E. Africa Standard Time</v>
      </c>
      <c r="M116">
        <v>0</v>
      </c>
    </row>
    <row r="117">
      <c r="A117" t="str">
        <v>A1124769238202146816</v>
      </c>
      <c r="B117" t="str">
        <v>ServerSide</v>
      </c>
      <c r="C117" t="str">
        <v>OML Tier 1 Overspeeding  (≥ 65KPH) at Timboroa zone</v>
      </c>
      <c r="D117" t="str">
        <v>OML Tier 1 Overspeeding  (≥ 65KPH) at Timboroa zone</v>
      </c>
      <c r="E117" t="e">
        <f>VLOOKUP(C:C,Sheet1!A:A,1,0)</f>
        <v>#N/A</v>
      </c>
      <c r="F117" t="str">
        <v>Road speed</v>
      </c>
      <c r="G117" t="str">
        <v>Speed</v>
      </c>
      <c r="H117" t="str">
        <v>km/h</v>
      </c>
      <c r="I117" t="str">
        <v>A3522792081055458809</v>
      </c>
      <c r="J117" t="str">
        <v>LafargeHolcim - Kenya</v>
      </c>
      <c r="K117" t="str">
        <v>OrganisationGroup</v>
      </c>
      <c r="L117" t="str">
        <v>E. Africa Standard Time</v>
      </c>
      <c r="M117">
        <v>0</v>
      </c>
    </row>
    <row r="118">
      <c r="A118" t="str">
        <v>A1124767798870257664</v>
      </c>
      <c r="B118" t="str">
        <v>ServerSide</v>
      </c>
      <c r="C118" t="str">
        <v>OML Tier 3 Overspeeding ( ≥ 20% of 50KPH) at Salgaa Stretch</v>
      </c>
      <c r="D118" t="str">
        <v>OML Tier 3 Overspeeding ( ≥ 20% of 50KPH) at Salgaa Stretch</v>
      </c>
      <c r="E118" t="e">
        <f>VLOOKUP(C:C,Sheet1!A:A,1,0)</f>
        <v>#N/A</v>
      </c>
      <c r="F118" t="str">
        <v>Road speed</v>
      </c>
      <c r="G118" t="str">
        <v>Speed</v>
      </c>
      <c r="H118" t="str">
        <v>km/h</v>
      </c>
      <c r="I118" t="str">
        <v>A3522792081055458809</v>
      </c>
      <c r="J118" t="str">
        <v>LafargeHolcim - Kenya</v>
      </c>
      <c r="K118" t="str">
        <v>OrganisationGroup</v>
      </c>
      <c r="L118" t="str">
        <v>E. Africa Standard Time</v>
      </c>
      <c r="M118">
        <v>0</v>
      </c>
    </row>
    <row r="119">
      <c r="A119" t="str">
        <v>A1124767251092520960</v>
      </c>
      <c r="B119" t="str">
        <v>ServerSide</v>
      </c>
      <c r="C119" t="str">
        <v>OML Tire 2 Overspeeding  (≥10% of 50KP/H) at Salgaa Strech</v>
      </c>
      <c r="D119" t="str">
        <v>OML Tire 2 Overspeeding  (≥10% of 50KP/H) at Salgaa Strech</v>
      </c>
      <c r="E119" t="e">
        <f>VLOOKUP(C:C,Sheet1!A:A,1,0)</f>
        <v>#N/A</v>
      </c>
      <c r="F119" t="str">
        <v>Road speed</v>
      </c>
      <c r="G119" t="str">
        <v>Speed</v>
      </c>
      <c r="H119" t="str">
        <v>km/h</v>
      </c>
      <c r="I119" t="str">
        <v>A3522792081055458809</v>
      </c>
      <c r="J119" t="str">
        <v>LafargeHolcim - Kenya</v>
      </c>
      <c r="K119" t="str">
        <v>OrganisationGroup</v>
      </c>
      <c r="L119" t="str">
        <v>E. Africa Standard Time</v>
      </c>
      <c r="M119">
        <v>0</v>
      </c>
    </row>
    <row r="120">
      <c r="A120" t="str">
        <v>A1124766537047453696</v>
      </c>
      <c r="B120" t="str">
        <v>ServerSide</v>
      </c>
      <c r="C120" t="str">
        <v>OML Tier 1 Overspeeding (≥ 50KPH) at Salgaa Stretch</v>
      </c>
      <c r="D120" t="str">
        <v>OML Tier 1 Overspeeding (≥ 50KPH) at Salgaa Stretch</v>
      </c>
      <c r="E120" t="e">
        <f>VLOOKUP(C:C,Sheet1!A:A,1,0)</f>
        <v>#N/A</v>
      </c>
      <c r="F120" t="str">
        <v>Road speed</v>
      </c>
      <c r="G120" t="str">
        <v>Speed</v>
      </c>
      <c r="H120" t="str">
        <v>km/h</v>
      </c>
      <c r="I120" t="str">
        <v>A3522792081055458809</v>
      </c>
      <c r="J120" t="str">
        <v>LafargeHolcim - Kenya</v>
      </c>
      <c r="K120" t="str">
        <v>OrganisationGroup</v>
      </c>
      <c r="L120" t="str">
        <v>E. Africa Standard Time</v>
      </c>
      <c r="M120">
        <v>0</v>
      </c>
    </row>
    <row r="121">
      <c r="A121" t="str">
        <v>A1124766120077475840</v>
      </c>
      <c r="B121" t="str">
        <v>ServerSide</v>
      </c>
      <c r="C121" t="str">
        <v>OML Tier 3 Overspeeding  ( ≥ 20% of 50KPH) at Mlima Kiu Stretch</v>
      </c>
      <c r="D121" t="str">
        <v>OML Tier 3 Overspeeding  ( ≥ 20% of 50KPH) at Mlima Kiu Stretch</v>
      </c>
      <c r="E121" t="e">
        <f>VLOOKUP(C:C,Sheet1!A:A,1,0)</f>
        <v>#N/A</v>
      </c>
      <c r="F121" t="str">
        <v>Road speed</v>
      </c>
      <c r="G121" t="str">
        <v>Speed</v>
      </c>
      <c r="H121" t="str">
        <v>km/h</v>
      </c>
      <c r="I121" t="str">
        <v>A3522792081055458809</v>
      </c>
      <c r="J121" t="str">
        <v>LafargeHolcim - Kenya</v>
      </c>
      <c r="K121" t="str">
        <v>OrganisationGroup</v>
      </c>
      <c r="L121" t="str">
        <v>E. Africa Standard Time</v>
      </c>
      <c r="M121">
        <v>0</v>
      </c>
    </row>
    <row r="122">
      <c r="A122" t="str">
        <v>A1124765509881126912</v>
      </c>
      <c r="B122" t="str">
        <v>ServerSide</v>
      </c>
      <c r="C122" t="str">
        <v>OML Tier 2 Overspeeding  ( ≥ 10% of 50KPH) at Mlima Kiu Stretch</v>
      </c>
      <c r="D122" t="str">
        <v>OML Tier 2 Overspeeding  ( ≥ 10% of 50KPH) at Mlima Kiu Stretch</v>
      </c>
      <c r="E122" t="e">
        <f>VLOOKUP(C:C,Sheet1!A:A,1,0)</f>
        <v>#N/A</v>
      </c>
      <c r="F122" t="str">
        <v>Road speed</v>
      </c>
      <c r="G122" t="str">
        <v>Speed</v>
      </c>
      <c r="H122" t="str">
        <v>km/h</v>
      </c>
      <c r="I122" t="str">
        <v>A3522792081055458809</v>
      </c>
      <c r="J122" t="str">
        <v>LafargeHolcim - Kenya</v>
      </c>
      <c r="K122" t="str">
        <v>OrganisationGroup</v>
      </c>
      <c r="L122" t="str">
        <v>E. Africa Standard Time</v>
      </c>
      <c r="M122">
        <v>0</v>
      </c>
    </row>
    <row r="123">
      <c r="A123" t="str">
        <v>A1124764756399579136</v>
      </c>
      <c r="B123" t="str">
        <v>ServerSide</v>
      </c>
      <c r="C123" t="str">
        <v>OML Tier 1 Overspeeding  (≥ 50KPH) at Mlima Kiu Stretch</v>
      </c>
      <c r="D123" t="str">
        <v>OML Tier 1 Overspeeding  (≥ 50KPH) at Mlima Kiu Stretch</v>
      </c>
      <c r="E123" t="e">
        <f>VLOOKUP(C:C,Sheet1!A:A,1,0)</f>
        <v>#N/A</v>
      </c>
      <c r="F123" t="str">
        <v>Road speed</v>
      </c>
      <c r="G123" t="str">
        <v>Speed</v>
      </c>
      <c r="H123" t="str">
        <v>km/h</v>
      </c>
      <c r="I123" t="str">
        <v>A3522792081055458809</v>
      </c>
      <c r="J123" t="str">
        <v>LafargeHolcim - Kenya</v>
      </c>
      <c r="K123" t="str">
        <v>OrganisationGroup</v>
      </c>
      <c r="L123" t="str">
        <v>E. Africa Standard Time</v>
      </c>
      <c r="M123">
        <v>0</v>
      </c>
    </row>
    <row r="124">
      <c r="A124" t="str">
        <v>A1124764430754430976</v>
      </c>
      <c r="B124" t="str">
        <v>ServerSide</v>
      </c>
      <c r="C124" t="str">
        <v>OML Tier 3 overspeeding  ( ≥ 20% of 65KPH) at Mau summit Short stretch</v>
      </c>
      <c r="D124" t="str">
        <v>OML Tier 3 overspeeding  ( ≥ 20% of 65KPH) at Mau summit Short stretch</v>
      </c>
      <c r="E124" t="e">
        <f>VLOOKUP(C:C,Sheet1!A:A,1,0)</f>
        <v>#N/A</v>
      </c>
      <c r="F124" t="str">
        <v>Road speed</v>
      </c>
      <c r="G124" t="str">
        <v>Speed</v>
      </c>
      <c r="H124" t="str">
        <v>km/h</v>
      </c>
      <c r="I124" t="str">
        <v>A3522792081055458809</v>
      </c>
      <c r="J124" t="str">
        <v>LafargeHolcim - Kenya</v>
      </c>
      <c r="K124" t="str">
        <v>OrganisationGroup</v>
      </c>
      <c r="L124" t="str">
        <v>E. Africa Standard Time</v>
      </c>
      <c r="M124">
        <v>0</v>
      </c>
    </row>
    <row r="125">
      <c r="A125" t="str">
        <v>A1124764014901157888</v>
      </c>
      <c r="B125" t="str">
        <v>ServerSide</v>
      </c>
      <c r="C125" t="str">
        <v>OML Tier 2 Overspeeding  ( ≥ 10% of 65KPH) at Mau summit Short stretch</v>
      </c>
      <c r="D125" t="str">
        <v>OML Tier 2 Overspeeding  ( ≥ 10% of 65KPH) at Mau summit Short stretch</v>
      </c>
      <c r="E125" t="e">
        <f>VLOOKUP(C:C,Sheet1!A:A,1,0)</f>
        <v>#N/A</v>
      </c>
      <c r="F125" t="str">
        <v>Road speed</v>
      </c>
      <c r="G125" t="str">
        <v>Speed</v>
      </c>
      <c r="H125" t="str">
        <v>km/h</v>
      </c>
      <c r="I125" t="str">
        <v>A3522792081055458809</v>
      </c>
      <c r="J125" t="str">
        <v>LafargeHolcim - Kenya</v>
      </c>
      <c r="K125" t="str">
        <v>OrganisationGroup</v>
      </c>
      <c r="L125" t="str">
        <v>E. Africa Standard Time</v>
      </c>
      <c r="M125">
        <v>0</v>
      </c>
    </row>
    <row r="126">
      <c r="A126" t="str">
        <v>A1124763248878641152</v>
      </c>
      <c r="B126" t="str">
        <v>ServerSide</v>
      </c>
      <c r="C126" t="str">
        <v>OML Tier 1 Overspeeding  ( ≥ 65KPH) at Mau summit Short stretch</v>
      </c>
      <c r="D126" t="str">
        <v>OML Tier 1 Overspeeding  ( ≥ 65KPH) at Mau summit Short stretch</v>
      </c>
      <c r="E126" t="e">
        <f>VLOOKUP(C:C,Sheet1!A:A,1,0)</f>
        <v>#N/A</v>
      </c>
      <c r="F126" t="str">
        <v>Road speed</v>
      </c>
      <c r="G126" t="str">
        <v>Speed</v>
      </c>
      <c r="H126" t="str">
        <v>km/h</v>
      </c>
      <c r="I126" t="str">
        <v>A3522792081055458809</v>
      </c>
      <c r="J126" t="str">
        <v>LafargeHolcim - Kenya</v>
      </c>
      <c r="K126" t="str">
        <v>OrganisationGroup</v>
      </c>
      <c r="L126" t="str">
        <v>E. Africa Standard Time</v>
      </c>
      <c r="M126">
        <v>0</v>
      </c>
    </row>
    <row r="127">
      <c r="A127" t="str">
        <v>A1124762591784448000</v>
      </c>
      <c r="B127" t="str">
        <v>ServerSide</v>
      </c>
      <c r="C127" t="str">
        <v>OML Tier 2 Overspeeding  ( ≥ 20% of 50KPH) at Mai Mahiu Escarpment</v>
      </c>
      <c r="D127" t="str">
        <v>OML Tier 2 Overspeeding  ( ≥ 20% of 50KPH) at Mai Mahiu Escarpment</v>
      </c>
      <c r="E127" t="e">
        <f>VLOOKUP(C:C,Sheet1!A:A,1,0)</f>
        <v>#N/A</v>
      </c>
      <c r="F127" t="str">
        <v>Road speed</v>
      </c>
      <c r="G127" t="str">
        <v>Speed</v>
      </c>
      <c r="H127" t="str">
        <v>km/h</v>
      </c>
      <c r="I127" t="str">
        <v>A3522792081055458809</v>
      </c>
      <c r="J127" t="str">
        <v>LafargeHolcim - Kenya</v>
      </c>
      <c r="K127" t="str">
        <v>OrganisationGroup</v>
      </c>
      <c r="L127" t="str">
        <v>E. Africa Standard Time</v>
      </c>
      <c r="M127">
        <v>0</v>
      </c>
    </row>
    <row r="128">
      <c r="A128" t="str">
        <v>A1124761856359378944</v>
      </c>
      <c r="B128" t="str">
        <v>ServerSide</v>
      </c>
      <c r="C128" t="str">
        <v>OML Tier 2 Overspeeding  ( ≥ 10% of 50KPH) at Mai Mahiu Escarpment</v>
      </c>
      <c r="D128" t="str">
        <v>OML Tier 2 Overspeeding  ( ≥ 10% of 50KPH) at Mai Mahiu Escarpment</v>
      </c>
      <c r="E128" t="e">
        <f>VLOOKUP(C:C,Sheet1!A:A,1,0)</f>
        <v>#N/A</v>
      </c>
      <c r="F128" t="str">
        <v>Road speed</v>
      </c>
      <c r="G128" t="str">
        <v>Speed</v>
      </c>
      <c r="H128" t="str">
        <v>km/h</v>
      </c>
      <c r="I128" t="str">
        <v>A3522792081055458809</v>
      </c>
      <c r="J128" t="str">
        <v>LafargeHolcim - Kenya</v>
      </c>
      <c r="K128" t="str">
        <v>OrganisationGroup</v>
      </c>
      <c r="L128" t="str">
        <v>E. Africa Standard Time</v>
      </c>
      <c r="M128">
        <v>0</v>
      </c>
    </row>
    <row r="129">
      <c r="A129" t="str">
        <v>A1124761471101919232</v>
      </c>
      <c r="B129" t="str">
        <v>ServerSide</v>
      </c>
      <c r="C129" t="str">
        <v>OML Tier 1 Overspeeding  (≥ 50KPH) at Mai Mahiu Escarpment</v>
      </c>
      <c r="D129" t="str">
        <v>OML Tier 1 Overspeeding  (≥ 50KPH) at Mai Mahiu Escarpment</v>
      </c>
      <c r="E129" t="e">
        <f>VLOOKUP(C:C,Sheet1!A:A,1,0)</f>
        <v>#N/A</v>
      </c>
      <c r="F129" t="str">
        <v>Road speed</v>
      </c>
      <c r="G129" t="str">
        <v>Speed</v>
      </c>
      <c r="H129" t="str">
        <v>km/h</v>
      </c>
      <c r="I129" t="str">
        <v>A3522792081055458809</v>
      </c>
      <c r="J129" t="str">
        <v>LafargeHolcim - Kenya</v>
      </c>
      <c r="K129" t="str">
        <v>OrganisationGroup</v>
      </c>
      <c r="L129" t="str">
        <v>E. Africa Standard Time</v>
      </c>
      <c r="M129">
        <v>0</v>
      </c>
    </row>
    <row r="130">
      <c r="A130" t="str">
        <v>A1124760904860545024</v>
      </c>
      <c r="B130" t="str">
        <v>ServerSide</v>
      </c>
      <c r="C130" t="str">
        <v>OML Tier 3 Overspeeding  ( ≥ 20% of 40KPH) at Lokichar Area</v>
      </c>
      <c r="D130" t="str">
        <v>OML Tier 3 Overspeeding  ( ≥ 20% of 40KPH) at Lokichar Area</v>
      </c>
      <c r="E130" t="e">
        <f>VLOOKUP(C:C,Sheet1!A:A,1,0)</f>
        <v>#N/A</v>
      </c>
      <c r="F130" t="str">
        <v>Road speed</v>
      </c>
      <c r="G130" t="str">
        <v>Speed</v>
      </c>
      <c r="H130" t="str">
        <v>km/h</v>
      </c>
      <c r="I130" t="str">
        <v>A3522792081055458809</v>
      </c>
      <c r="J130" t="str">
        <v>LafargeHolcim - Kenya</v>
      </c>
      <c r="K130" t="str">
        <v>OrganisationGroup</v>
      </c>
      <c r="L130" t="str">
        <v>E. Africa Standard Time</v>
      </c>
      <c r="M130">
        <v>0</v>
      </c>
    </row>
    <row r="131">
      <c r="A131" t="str">
        <v>A1124760223527165952</v>
      </c>
      <c r="B131" t="str">
        <v>ServerSide</v>
      </c>
      <c r="C131" t="str">
        <v>OML Tier 2 Overspeeding  ( ≥ 10% of 40KPH) at Lokichar Area</v>
      </c>
      <c r="D131" t="str">
        <v>OML Tier 2 Overspeeding  ( ≥ 10% of 40KPH) at Lokichar Area</v>
      </c>
      <c r="E131" t="e">
        <f>VLOOKUP(C:C,Sheet1!A:A,1,0)</f>
        <v>#N/A</v>
      </c>
      <c r="F131" t="str">
        <v>Road speed</v>
      </c>
      <c r="G131" t="str">
        <v>Speed</v>
      </c>
      <c r="H131" t="str">
        <v>km/h</v>
      </c>
      <c r="I131" t="str">
        <v>A3522792081055458809</v>
      </c>
      <c r="J131" t="str">
        <v>LafargeHolcim - Kenya</v>
      </c>
      <c r="K131" t="str">
        <v>OrganisationGroup</v>
      </c>
      <c r="L131" t="str">
        <v>E. Africa Standard Time</v>
      </c>
      <c r="M131">
        <v>0</v>
      </c>
    </row>
    <row r="132">
      <c r="A132" t="str">
        <v>A1124759749034557440</v>
      </c>
      <c r="B132" t="str">
        <v>ServerSide</v>
      </c>
      <c r="C132" t="str">
        <v>OML Tier 1 Overspeeding  ( ≥ 40KPH) at Lokichar Area</v>
      </c>
      <c r="D132" t="str">
        <v>OML Tier 1 Overspeeding  ( ≥ 40KPH) at Lokichar Area</v>
      </c>
      <c r="E132" t="e">
        <f>VLOOKUP(C:C,Sheet1!A:A,1,0)</f>
        <v>#N/A</v>
      </c>
      <c r="F132" t="str">
        <v>Road speed</v>
      </c>
      <c r="G132" t="str">
        <v>Speed</v>
      </c>
      <c r="H132" t="str">
        <v>km/h</v>
      </c>
      <c r="I132" t="str">
        <v>A3522792081055458809</v>
      </c>
      <c r="J132" t="str">
        <v>LafargeHolcim - Kenya</v>
      </c>
      <c r="K132" t="str">
        <v>OrganisationGroup</v>
      </c>
      <c r="L132" t="str">
        <v>E. Africa Standard Time</v>
      </c>
      <c r="M132">
        <v>0</v>
      </c>
    </row>
    <row r="133">
      <c r="A133" t="str">
        <v>A1099462338078031872</v>
      </c>
      <c r="B133" t="str">
        <v>ServerSide</v>
      </c>
      <c r="C133" t="str">
        <v>Truck entered Simba Cement Athiriver</v>
      </c>
      <c r="D133" t="str">
        <v>Truck entered Simba Cement Athiriver</v>
      </c>
      <c r="E133" t="e">
        <f>VLOOKUP(C:C,Sheet1!A:A,1,0)</f>
        <v>#N/A</v>
      </c>
      <c r="F133" t="str">
        <v>At location</v>
      </c>
      <c r="G133" t="str">
        <v>Location</v>
      </c>
      <c r="I133" t="str">
        <v>A3522792081055458809</v>
      </c>
      <c r="J133" t="str">
        <v>LafargeHolcim - Kenya</v>
      </c>
      <c r="K133" t="str">
        <v>OrganisationGroup</v>
      </c>
      <c r="L133" t="str">
        <v>E. Africa Standard Time</v>
      </c>
      <c r="M133">
        <v>0</v>
      </c>
    </row>
    <row r="134">
      <c r="A134" t="str">
        <v>A-8141744500801394785</v>
      </c>
      <c r="B134" t="str">
        <v>Custom</v>
      </c>
      <c r="C134" t="str">
        <v>Free  Wheeling</v>
      </c>
      <c r="D134" t="str">
        <v>Free  Wheeling</v>
      </c>
      <c r="E134" t="str">
        <f>VLOOKUP(C:C,Sheet1!A:A,1,0)</f>
        <v>Free  Wheeling</v>
      </c>
      <c r="I134" t="str">
        <v>A3522792081055458809</v>
      </c>
      <c r="J134" t="str">
        <v>LafargeHolcim - Kenya</v>
      </c>
      <c r="K134" t="str">
        <v>OrganisationGroup</v>
      </c>
      <c r="L134" t="str">
        <v>E. Africa Standard Time</v>
      </c>
      <c r="M134">
        <v>1</v>
      </c>
    </row>
    <row r="135">
      <c r="A135" t="str">
        <v>A1093574928389001216</v>
      </c>
      <c r="B135" t="str">
        <v>ServerSide</v>
      </c>
      <c r="C135" t="str">
        <v>Simba Test</v>
      </c>
      <c r="D135" t="str">
        <v>Simba Test</v>
      </c>
      <c r="E135" t="e">
        <f>VLOOKUP(C:C,Sheet1!A:A,1,0)</f>
        <v>#N/A</v>
      </c>
      <c r="F135" t="str">
        <v>At location</v>
      </c>
      <c r="G135" t="str">
        <v>Location</v>
      </c>
      <c r="I135" t="str">
        <v>A3522792081055458809</v>
      </c>
      <c r="J135" t="str">
        <v>LafargeHolcim - Kenya</v>
      </c>
      <c r="K135" t="str">
        <v>OrganisationGroup</v>
      </c>
      <c r="L135" t="str">
        <v>E. Africa Standard Time</v>
      </c>
      <c r="M135">
        <v>0</v>
      </c>
    </row>
    <row r="136">
      <c r="A136" t="str">
        <v>A1041440912930930688</v>
      </c>
      <c r="B136" t="str">
        <v>ServerSide</v>
      </c>
      <c r="C136" t="str">
        <v>Off Route Port - Bamburi</v>
      </c>
      <c r="D136" t="str">
        <v>Off Route Port - Bamburi</v>
      </c>
      <c r="E136" t="e">
        <f>VLOOKUP(C:C,Sheet1!A:A,1,0)</f>
        <v>#N/A</v>
      </c>
      <c r="F136" t="str">
        <v>At location</v>
      </c>
      <c r="G136" t="str">
        <v>Location</v>
      </c>
      <c r="I136" t="str">
        <v>A3522792081055458809</v>
      </c>
      <c r="J136" t="str">
        <v>LafargeHolcim - Kenya</v>
      </c>
      <c r="K136" t="str">
        <v>OrganisationGroup</v>
      </c>
      <c r="L136" t="str">
        <v>E. Africa Standard Time</v>
      </c>
      <c r="M136">
        <v>0</v>
      </c>
    </row>
    <row r="137">
      <c r="A137" t="str">
        <v>A-3890646499157906515</v>
      </c>
      <c r="B137" t="str">
        <v>System</v>
      </c>
      <c r="C137" t="str">
        <v>Over Speeding</v>
      </c>
      <c r="D137" t="str">
        <v>Over Speeding</v>
      </c>
      <c r="E137" t="str">
        <f>VLOOKUP(C:C,Sheet1!A:A,1,0)</f>
        <v>Over Speeding</v>
      </c>
      <c r="F137" t="str">
        <v>Road speed</v>
      </c>
      <c r="G137" t="str">
        <v>Speed</v>
      </c>
      <c r="H137" t="str">
        <v>km/h</v>
      </c>
      <c r="I137" t="str">
        <v>A3522792081055458809</v>
      </c>
      <c r="J137" t="str">
        <v>LafargeHolcim - Kenya</v>
      </c>
      <c r="K137" t="str">
        <v>OrganisationGroup</v>
      </c>
      <c r="L137" t="str">
        <v>E. Africa Standard Time</v>
      </c>
      <c r="M137">
        <v>1</v>
      </c>
    </row>
    <row r="138">
      <c r="A138" t="str">
        <v>A-7372181092478897411</v>
      </c>
      <c r="B138" t="str">
        <v>System</v>
      </c>
      <c r="C138" t="str">
        <v>Over Revving</v>
      </c>
      <c r="D138" t="str">
        <v>Over Revving</v>
      </c>
      <c r="E138" t="str">
        <f>VLOOKUP(C:C,Sheet1!A:A,1,0)</f>
        <v>Over Revving</v>
      </c>
      <c r="F138" t="str">
        <v>Engine RPM</v>
      </c>
      <c r="G138" t="str">
        <v>Value</v>
      </c>
      <c r="H138" t="str">
        <v>RPM</v>
      </c>
      <c r="I138" t="str">
        <v>A3522792081055458809</v>
      </c>
      <c r="J138" t="str">
        <v>LafargeHolcim - Kenya</v>
      </c>
      <c r="K138" t="str">
        <v>OrganisationGroup</v>
      </c>
      <c r="L138" t="str">
        <v>E. Africa Standard Time</v>
      </c>
      <c r="M138">
        <v>1</v>
      </c>
    </row>
    <row r="139">
      <c r="A139" t="str">
        <v>A4750800303282680186</v>
      </c>
      <c r="B139" t="str">
        <v>System</v>
      </c>
      <c r="C139" t="str">
        <v>Harsh braking</v>
      </c>
      <c r="D139" t="str">
        <v>Harsh braking</v>
      </c>
      <c r="E139" t="str">
        <f>VLOOKUP(C:C,Sheet1!A:A,1,0)</f>
        <v>Harsh Braking</v>
      </c>
      <c r="F139" t="str">
        <v>Deceleration</v>
      </c>
      <c r="G139" t="str">
        <v>Acceleration</v>
      </c>
      <c r="H139" t="str">
        <v>km/h/s</v>
      </c>
      <c r="I139" t="str">
        <v>A3522792081055458809</v>
      </c>
      <c r="J139" t="str">
        <v>LafargeHolcim - Kenya</v>
      </c>
      <c r="K139" t="str">
        <v>OrganisationGroup</v>
      </c>
      <c r="L139" t="str">
        <v>E. Africa Standard Time</v>
      </c>
      <c r="M139">
        <v>1</v>
      </c>
    </row>
    <row r="140">
      <c r="A140" t="str">
        <v>A-7417774485302453264</v>
      </c>
      <c r="B140" t="str">
        <v>System</v>
      </c>
      <c r="C140" t="str">
        <v>Out of green band driving</v>
      </c>
      <c r="D140" t="str">
        <v>Out of green band driving</v>
      </c>
      <c r="E140" t="e">
        <f>VLOOKUP(C:C,Sheet1!A:A,1,0)</f>
        <v>#N/A</v>
      </c>
      <c r="I140" t="str">
        <v>A3522792081055458809</v>
      </c>
      <c r="J140" t="str">
        <v>LafargeHolcim - Kenya</v>
      </c>
      <c r="K140" t="str">
        <v>OrganisationGroup</v>
      </c>
      <c r="L140" t="str">
        <v>E. Africa Standard Time</v>
      </c>
      <c r="M140">
        <v>0</v>
      </c>
    </row>
    <row r="141">
      <c r="A141" t="str">
        <v>A4650840888823746694</v>
      </c>
      <c r="B141" t="str">
        <v>System</v>
      </c>
      <c r="C141" t="str">
        <v>Idle - excessive</v>
      </c>
      <c r="D141" t="str">
        <v>Idle - excessive</v>
      </c>
      <c r="E141" t="str">
        <v>Idle - excessive</v>
      </c>
      <c r="I141" t="str">
        <v>A3522792081055458809</v>
      </c>
      <c r="J141" t="str">
        <v>LafargeHolcim - Kenya</v>
      </c>
      <c r="K141" t="str">
        <v>OrganisationGroup</v>
      </c>
      <c r="L141" t="str">
        <v>E. Africa Standard Time</v>
      </c>
      <c r="M141">
        <v>1</v>
      </c>
    </row>
    <row r="142">
      <c r="A142" t="str">
        <v>A-3393530750645328945</v>
      </c>
      <c r="B142" t="str">
        <v>System</v>
      </c>
      <c r="C142" t="str">
        <v>Idle</v>
      </c>
      <c r="D142" t="str">
        <v>Idle</v>
      </c>
      <c r="E142" t="e">
        <f>VLOOKUP(C:C,Sheet1!A:A,1,0)</f>
        <v>#N/A</v>
      </c>
      <c r="I142" t="str">
        <v>A3522792081055458809</v>
      </c>
      <c r="J142" t="str">
        <v>LafargeHolcim - Kenya</v>
      </c>
      <c r="K142" t="str">
        <v>OrganisationGroup</v>
      </c>
      <c r="L142" t="str">
        <v>E. Africa Standard Time</v>
      </c>
      <c r="M142">
        <v>0</v>
      </c>
    </row>
    <row r="143">
      <c r="A143" t="str">
        <v>A6454149451280645233</v>
      </c>
      <c r="B143" t="str">
        <v>System</v>
      </c>
      <c r="C143" t="str">
        <v>Harsh acceleration</v>
      </c>
      <c r="D143" t="str">
        <v>Harsh acceleration</v>
      </c>
      <c r="E143" t="str">
        <f>VLOOKUP(C:C,Sheet1!A:A,1,0)</f>
        <v>Harsh Acceleration</v>
      </c>
      <c r="F143" t="str">
        <v>Acceleration</v>
      </c>
      <c r="G143" t="str">
        <v>Acceleration</v>
      </c>
      <c r="H143" t="str">
        <v>km/h/s</v>
      </c>
      <c r="I143" t="str">
        <v>A3522792081055458809</v>
      </c>
      <c r="J143" t="str">
        <v>LafargeHolcim - Kenya</v>
      </c>
      <c r="K143" t="str">
        <v>OrganisationGroup</v>
      </c>
      <c r="L143" t="str">
        <v>E. Africa Standard Time</v>
      </c>
      <c r="M143">
        <v>1</v>
      </c>
    </row>
    <row r="144">
      <c r="A144" t="str">
        <v>A1817013705984649276</v>
      </c>
      <c r="B144" t="str">
        <v>System</v>
      </c>
      <c r="C144" t="str">
        <v>DI: Battery disconnection</v>
      </c>
      <c r="D144" t="str">
        <v>DI: Battery disconnection</v>
      </c>
      <c r="E144" t="e">
        <f>VLOOKUP(C:C,Sheet1!A:A,1,0)</f>
        <v>#N/A</v>
      </c>
      <c r="F144" t="str">
        <v>Battery disconnect date/time</v>
      </c>
      <c r="G144" t="str">
        <v>DateTime</v>
      </c>
      <c r="I144" t="str">
        <v>A3522792081055458809</v>
      </c>
      <c r="J144" t="str">
        <v>LafargeHolcim - Kenya</v>
      </c>
      <c r="K144" t="str">
        <v>OrganisationGroup</v>
      </c>
      <c r="L144" t="str">
        <v>E. Africa Standard Time</v>
      </c>
      <c r="M144">
        <v>0</v>
      </c>
    </row>
    <row r="145">
      <c r="A145" t="str">
        <v>A-4810289911623117396</v>
      </c>
      <c r="B145" t="str">
        <v>System</v>
      </c>
      <c r="C145" t="str">
        <v>FM System relay bypassed</v>
      </c>
      <c r="D145" t="str">
        <v>FM System relay bypassed</v>
      </c>
      <c r="E145" t="e">
        <f>VLOOKUP(C:C,Sheet1!A:A,1,0)</f>
        <v>#N/A</v>
      </c>
      <c r="I145" t="str">
        <v>A3522792081055458809</v>
      </c>
      <c r="J145" t="str">
        <v>LafargeHolcim - Kenya</v>
      </c>
      <c r="K145" t="str">
        <v>OrganisationGroup</v>
      </c>
      <c r="L145" t="str">
        <v>E. Africa Standard Time</v>
      </c>
      <c r="M145">
        <v>0</v>
      </c>
    </row>
    <row r="146">
      <c r="A146" t="str">
        <v>A135332957524458266</v>
      </c>
      <c r="B146" t="str">
        <v>System</v>
      </c>
      <c r="C146" t="str">
        <v>FM Free wheel in neutral</v>
      </c>
      <c r="D146" t="str">
        <v>FM Free wheel in neutral</v>
      </c>
      <c r="E146" t="e">
        <f>VLOOKUP(C:C,Sheet1!A:A,1,0)</f>
        <v>#N/A</v>
      </c>
      <c r="I146" t="str">
        <v>A3522792081055458809</v>
      </c>
      <c r="J146" t="str">
        <v>LafargeHolcim - Kenya</v>
      </c>
      <c r="K146" t="str">
        <v>OrganisationGroup</v>
      </c>
      <c r="L146" t="str">
        <v>E. Africa Standard Time</v>
      </c>
      <c r="M146">
        <v>0</v>
      </c>
    </row>
    <row r="147">
      <c r="A147" t="str">
        <v>A8616181455636609494</v>
      </c>
      <c r="B147" t="str">
        <v>Diagnostic</v>
      </c>
      <c r="C147" t="str">
        <v>DI: Speed sender disconnected</v>
      </c>
      <c r="D147" t="str">
        <v>DI: Speed sender disconnected</v>
      </c>
      <c r="E147" t="e">
        <f>VLOOKUP(C:C,Sheet1!A:A,1,0)</f>
        <v>#N/A</v>
      </c>
      <c r="F147" t="str">
        <v>Engine RPM</v>
      </c>
      <c r="G147" t="str">
        <v>Value</v>
      </c>
      <c r="H147" t="str">
        <v>RPM</v>
      </c>
      <c r="I147" t="str">
        <v>A3522792081055458809</v>
      </c>
      <c r="J147" t="str">
        <v>LafargeHolcim - Kenya</v>
      </c>
      <c r="K147" t="str">
        <v>OrganisationGroup</v>
      </c>
      <c r="L147" t="str">
        <v>E. Africa Standard Time</v>
      </c>
      <c r="M147">
        <v>0</v>
      </c>
    </row>
    <row r="148">
      <c r="A148" t="str">
        <v>A-7060273240602152234</v>
      </c>
      <c r="B148" t="str">
        <v>System</v>
      </c>
      <c r="C148" t="str">
        <v>GPRS - Total bytes sent and received</v>
      </c>
      <c r="D148" t="str">
        <v>GPRS - Total bytes sent and received</v>
      </c>
      <c r="E148" t="e">
        <f>VLOOKUP(C:C,Sheet1!A:A,1,0)</f>
        <v>#N/A</v>
      </c>
      <c r="F148" t="str">
        <v>GPRS running total byte count</v>
      </c>
      <c r="G148" t="str">
        <v>Value</v>
      </c>
      <c r="H148" t="str">
        <v>Bytes</v>
      </c>
      <c r="I148" t="str">
        <v>A3522792081055458809</v>
      </c>
      <c r="J148" t="str">
        <v>LafargeHolcim - Kenya</v>
      </c>
      <c r="K148" t="str">
        <v>OrganisationGroup</v>
      </c>
      <c r="L148" t="str">
        <v>E. Africa Standard Time</v>
      </c>
      <c r="M148">
        <v>0</v>
      </c>
    </row>
    <row r="149">
      <c r="A149" t="str">
        <v>A-883761051658562607</v>
      </c>
      <c r="B149" t="str">
        <v>System</v>
      </c>
      <c r="C149" t="str">
        <v>GPRS - Total bytes sent</v>
      </c>
      <c r="D149" t="str">
        <v>GPRS - Total bytes sent</v>
      </c>
      <c r="E149" t="e">
        <f>VLOOKUP(C:C,Sheet1!A:A,1,0)</f>
        <v>#N/A</v>
      </c>
      <c r="F149" t="str">
        <v>GPRS running Tx byte count</v>
      </c>
      <c r="G149" t="str">
        <v>Value</v>
      </c>
      <c r="H149" t="str">
        <v>Bytes</v>
      </c>
      <c r="I149" t="str">
        <v>A3522792081055458809</v>
      </c>
      <c r="J149" t="str">
        <v>LafargeHolcim - Kenya</v>
      </c>
      <c r="K149" t="str">
        <v>OrganisationGroup</v>
      </c>
      <c r="L149" t="str">
        <v>E. Africa Standard Time</v>
      </c>
      <c r="M149">
        <v>0</v>
      </c>
    </row>
    <row r="150">
      <c r="A150" t="str">
        <v>A-1937308351821204126</v>
      </c>
      <c r="B150" t="str">
        <v>System</v>
      </c>
      <c r="C150" t="str">
        <v>GPRS - Total bytes received</v>
      </c>
      <c r="D150" t="str">
        <v>GPRS - Total bytes received</v>
      </c>
      <c r="E150" t="e">
        <f>VLOOKUP(C:C,Sheet1!A:A,1,0)</f>
        <v>#N/A</v>
      </c>
      <c r="F150" t="str">
        <v>GPRS running Rx byte count</v>
      </c>
      <c r="G150" t="str">
        <v>Value</v>
      </c>
      <c r="H150" t="str">
        <v>Bytes</v>
      </c>
      <c r="I150" t="str">
        <v>A3522792081055458809</v>
      </c>
      <c r="J150" t="str">
        <v>LafargeHolcim - Kenya</v>
      </c>
      <c r="K150" t="str">
        <v>OrganisationGroup</v>
      </c>
      <c r="L150" t="str">
        <v>E. Africa Standard Time</v>
      </c>
      <c r="M150">
        <v>0</v>
      </c>
    </row>
    <row r="151">
      <c r="A151" t="str">
        <v>A7501744153948975221</v>
      </c>
      <c r="B151" t="str">
        <v>System</v>
      </c>
      <c r="C151" t="str">
        <v>GPRS - Total sessions</v>
      </c>
      <c r="D151" t="str">
        <v>GPRS - Total sessions</v>
      </c>
      <c r="E151" t="e">
        <f>VLOOKUP(C:C,Sheet1!A:A,1,0)</f>
        <v>#N/A</v>
      </c>
      <c r="F151" t="str">
        <v>GPRS running session count</v>
      </c>
      <c r="G151" t="str">
        <v>Value</v>
      </c>
      <c r="I151" t="str">
        <v>A3522792081055458809</v>
      </c>
      <c r="J151" t="str">
        <v>LafargeHolcim - Kenya</v>
      </c>
      <c r="K151" t="str">
        <v>OrganisationGroup</v>
      </c>
      <c r="L151" t="str">
        <v>E. Africa Standard Time</v>
      </c>
      <c r="M151">
        <v>0</v>
      </c>
    </row>
    <row r="152">
      <c r="A152" t="str">
        <v>A1973381465179094554</v>
      </c>
      <c r="B152" t="str">
        <v>System</v>
      </c>
      <c r="C152" t="str">
        <v>GPRS - Session active</v>
      </c>
      <c r="D152" t="str">
        <v>GPRS - Session active</v>
      </c>
      <c r="E152" t="e">
        <f>VLOOKUP(C:C,Sheet1!A:A,1,0)</f>
        <v>#N/A</v>
      </c>
      <c r="I152" t="str">
        <v>A3522792081055458809</v>
      </c>
      <c r="J152" t="str">
        <v>LafargeHolcim - Kenya</v>
      </c>
      <c r="K152" t="str">
        <v>OrganisationGroup</v>
      </c>
      <c r="L152" t="str">
        <v>E. Africa Standard Time</v>
      </c>
      <c r="M152">
        <v>0</v>
      </c>
    </row>
    <row r="153">
      <c r="A153" t="str">
        <v>A-8397832742541928970</v>
      </c>
      <c r="B153" t="str">
        <v>System</v>
      </c>
      <c r="C153" t="str">
        <v>Active Control - relay drive 1 ON</v>
      </c>
      <c r="D153" t="str">
        <v>Active Control - relay drive 1 ON</v>
      </c>
      <c r="E153" t="e">
        <f>VLOOKUP(C:C,Sheet1!A:A,1,0)</f>
        <v>#N/A</v>
      </c>
      <c r="I153" t="str">
        <v>A3522792081055458809</v>
      </c>
      <c r="J153" t="str">
        <v>LafargeHolcim - Kenya</v>
      </c>
      <c r="K153" t="str">
        <v>OrganisationGroup</v>
      </c>
      <c r="L153" t="str">
        <v>E. Africa Standard Time</v>
      </c>
      <c r="M153">
        <v>0</v>
      </c>
    </row>
    <row r="154">
      <c r="A154" t="str">
        <v>A9200593920274072625</v>
      </c>
      <c r="B154" t="str">
        <v>System</v>
      </c>
      <c r="C154" t="str">
        <v>Active Control - relay drive 1 OFF</v>
      </c>
      <c r="D154" t="str">
        <v>Active Control - relay drive 1 OFF</v>
      </c>
      <c r="E154" t="e">
        <f>VLOOKUP(C:C,Sheet1!A:A,1,0)</f>
        <v>#N/A</v>
      </c>
      <c r="I154" t="str">
        <v>A3522792081055458809</v>
      </c>
      <c r="J154" t="str">
        <v>LafargeHolcim - Kenya</v>
      </c>
      <c r="K154" t="str">
        <v>OrganisationGroup</v>
      </c>
      <c r="L154" t="str">
        <v>E. Africa Standard Time</v>
      </c>
      <c r="M154">
        <v>0</v>
      </c>
    </row>
    <row r="155">
      <c r="A155" t="str">
        <v>A7488209241153745749</v>
      </c>
      <c r="B155" t="str">
        <v>Diagnostic</v>
      </c>
      <c r="C155" t="str">
        <v>Diagnostic: Maximum GPS Velocity</v>
      </c>
      <c r="D155" t="str">
        <v>Diagnostic: Maximum GPS Velocity</v>
      </c>
      <c r="E155" t="e">
        <f>VLOOKUP(C:C,Sheet1!A:A,1,0)</f>
        <v>#N/A</v>
      </c>
      <c r="F155" t="str">
        <v>GPS velocity</v>
      </c>
      <c r="G155" t="str">
        <v>Speed</v>
      </c>
      <c r="H155" t="str">
        <v>km/h</v>
      </c>
      <c r="I155" t="str">
        <v>A3522792081055458809</v>
      </c>
      <c r="J155" t="str">
        <v>LafargeHolcim - Kenya</v>
      </c>
      <c r="K155" t="str">
        <v>OrganisationGroup</v>
      </c>
      <c r="L155" t="str">
        <v>E. Africa Standard Time</v>
      </c>
      <c r="M155">
        <v>0</v>
      </c>
    </row>
    <row r="156">
      <c r="A156" t="str">
        <v>A6964053236177868627</v>
      </c>
      <c r="B156" t="str">
        <v>Diagnostic</v>
      </c>
      <c r="C156" t="str">
        <v>DI: Fault GPS</v>
      </c>
      <c r="D156" t="str">
        <v>DI: Fault GPS</v>
      </c>
      <c r="E156" t="e">
        <f>VLOOKUP(C:C,Sheet1!A:A,1,0)</f>
        <v>#N/A</v>
      </c>
      <c r="I156" t="str">
        <v>A3522792081055458809</v>
      </c>
      <c r="J156" t="str">
        <v>LafargeHolcim - Kenya</v>
      </c>
      <c r="K156" t="str">
        <v>OrganisationGroup</v>
      </c>
      <c r="L156" t="str">
        <v>E. Africa Standard Time</v>
      </c>
      <c r="M156">
        <v>0</v>
      </c>
    </row>
    <row r="157">
      <c r="A157" t="str">
        <v>A-8455139828501255087</v>
      </c>
      <c r="B157" t="str">
        <v>Diagnostic</v>
      </c>
      <c r="C157" t="str">
        <v>Diagnostic: Fault no Engine RPM</v>
      </c>
      <c r="D157" t="str">
        <v>Diagnostic: Fault no Engine RPM</v>
      </c>
      <c r="E157" t="str">
        <f>VLOOKUP(C:C,Sheet1!A:A,1,0)</f>
        <v>Diagnostic: Fault No Engine Rpm</v>
      </c>
      <c r="I157" t="str">
        <v>A3522792081055458809</v>
      </c>
      <c r="J157" t="str">
        <v>LafargeHolcim - Kenya</v>
      </c>
      <c r="K157" t="str">
        <v>OrganisationGroup</v>
      </c>
      <c r="L157" t="str">
        <v>E. Africa Standard Time</v>
      </c>
      <c r="M157">
        <v>1</v>
      </c>
    </row>
    <row r="158">
      <c r="A158" t="str">
        <v>A-1949793629218907327</v>
      </c>
      <c r="B158" t="str">
        <v>System</v>
      </c>
      <c r="C158" t="str">
        <v>FM Brake pedal depressed</v>
      </c>
      <c r="D158" t="str">
        <v>FM Brake pedal depressed</v>
      </c>
      <c r="E158" t="e">
        <f>VLOOKUP(C:C,Sheet1!A:A,1,0)</f>
        <v>#N/A</v>
      </c>
      <c r="I158" t="str">
        <v>A3522792081055458809</v>
      </c>
      <c r="J158" t="str">
        <v>LafargeHolcim - Kenya</v>
      </c>
      <c r="K158" t="str">
        <v>OrganisationGroup</v>
      </c>
      <c r="L158" t="str">
        <v>E. Africa Standard Time</v>
      </c>
      <c r="M158">
        <v>0</v>
      </c>
    </row>
    <row r="159">
      <c r="A159" t="str">
        <v>A-7394395334986863787</v>
      </c>
      <c r="B159" t="str">
        <v>System</v>
      </c>
      <c r="C159" t="str">
        <v>FM Clutch disengaged</v>
      </c>
      <c r="D159" t="str">
        <v>FM Clutch disengaged</v>
      </c>
      <c r="E159" t="e">
        <f>VLOOKUP(C:C,Sheet1!A:A,1,0)</f>
        <v>#N/A</v>
      </c>
      <c r="I159" t="str">
        <v>A3522792081055458809</v>
      </c>
      <c r="J159" t="str">
        <v>LafargeHolcim - Kenya</v>
      </c>
      <c r="K159" t="str">
        <v>OrganisationGroup</v>
      </c>
      <c r="L159" t="str">
        <v>E. Africa Standard Time</v>
      </c>
      <c r="M159">
        <v>0</v>
      </c>
    </row>
    <row r="160">
      <c r="A160" t="str">
        <v>A4015353629289897570</v>
      </c>
      <c r="B160" t="str">
        <v>System</v>
      </c>
      <c r="C160" t="str">
        <v>FM Fuel level percentage</v>
      </c>
      <c r="D160" t="str">
        <v>FM Fuel level percentage</v>
      </c>
      <c r="E160" t="e">
        <f>VLOOKUP(C:C,Sheet1!A:A,1,0)</f>
        <v>#N/A</v>
      </c>
      <c r="F160" t="str">
        <v>FM Fuel level</v>
      </c>
      <c r="G160" t="str">
        <v>Value</v>
      </c>
      <c r="H160" t="str">
        <v>%</v>
      </c>
      <c r="I160" t="str">
        <v>A3522792081055458809</v>
      </c>
      <c r="J160" t="str">
        <v>LafargeHolcim - Kenya</v>
      </c>
      <c r="K160" t="str">
        <v>OrganisationGroup</v>
      </c>
      <c r="L160" t="str">
        <v>E. Africa Standard Time</v>
      </c>
      <c r="M160">
        <v>0</v>
      </c>
    </row>
    <row r="161">
      <c r="A161" t="str">
        <v>A-5701437455733308247</v>
      </c>
      <c r="B161" t="str">
        <v>System</v>
      </c>
      <c r="C161" t="str">
        <v>FM High resolution vehicle odometer</v>
      </c>
      <c r="D161" t="str">
        <v>FM High resolution vehicle odometer</v>
      </c>
      <c r="E161" t="e">
        <f>VLOOKUP(C:C,Sheet1!A:A,1,0)</f>
        <v>#N/A</v>
      </c>
      <c r="F161" t="str">
        <v>FM High resolution odometer</v>
      </c>
      <c r="G161" t="str">
        <v>DistanceKilometers</v>
      </c>
      <c r="H161" t="str">
        <v>km</v>
      </c>
      <c r="I161" t="str">
        <v>A3522792081055458809</v>
      </c>
      <c r="J161" t="str">
        <v>LafargeHolcim - Kenya</v>
      </c>
      <c r="K161" t="str">
        <v>OrganisationGroup</v>
      </c>
      <c r="L161" t="str">
        <v>E. Africa Standard Time</v>
      </c>
      <c r="M161">
        <v>0</v>
      </c>
    </row>
    <row r="162">
      <c r="A162" t="str">
        <v>A3768927012947187868</v>
      </c>
      <c r="B162" t="str">
        <v>System</v>
      </c>
      <c r="C162" t="str">
        <v>FM Total engine hours</v>
      </c>
      <c r="D162" t="str">
        <v>FM Total engine hours</v>
      </c>
      <c r="E162" t="e">
        <f>VLOOKUP(C:C,Sheet1!A:A,1,0)</f>
        <v>#N/A</v>
      </c>
      <c r="F162" t="str">
        <v>FM Total engine hours</v>
      </c>
      <c r="G162" t="str">
        <v>Value</v>
      </c>
      <c r="H162" t="str">
        <v>Hours</v>
      </c>
      <c r="I162" t="str">
        <v>A3522792081055458809</v>
      </c>
      <c r="J162" t="str">
        <v>LafargeHolcim - Kenya</v>
      </c>
      <c r="K162" t="str">
        <v>OrganisationGroup</v>
      </c>
      <c r="L162" t="str">
        <v>E. Africa Standard Time</v>
      </c>
      <c r="M162">
        <v>0</v>
      </c>
    </row>
    <row r="163">
      <c r="A163" t="str">
        <v>A1455967831181304324</v>
      </c>
      <c r="B163" t="str">
        <v>Diagnostic</v>
      </c>
      <c r="C163" t="str">
        <v>Diagnostic: Noise on speed line</v>
      </c>
      <c r="D163" t="str">
        <v>Diagnostic: Noise on speed line</v>
      </c>
      <c r="E163" t="e">
        <f>VLOOKUP(C:C,Sheet1!A:A,1,0)</f>
        <v>#N/A</v>
      </c>
      <c r="I163" t="str">
        <v>A3522792081055458809</v>
      </c>
      <c r="J163" t="str">
        <v>LafargeHolcim - Kenya</v>
      </c>
      <c r="K163" t="str">
        <v>OrganisationGroup</v>
      </c>
      <c r="L163" t="str">
        <v>E. Africa Standard Time</v>
      </c>
      <c r="M163">
        <v>0</v>
      </c>
    </row>
    <row r="164">
      <c r="A164" t="str">
        <v>A6922609100885212728</v>
      </c>
      <c r="B164" t="str">
        <v>System</v>
      </c>
      <c r="C164" t="str">
        <v>DI: GPS velocity as speed fallback</v>
      </c>
      <c r="D164" t="str">
        <v>DI: GPS velocity as speed fallback</v>
      </c>
      <c r="E164" t="e">
        <f>VLOOKUP(C:C,Sheet1!A:A,1,0)</f>
        <v>#N/A</v>
      </c>
      <c r="I164" t="str">
        <v>A3522792081055458809</v>
      </c>
      <c r="J164" t="str">
        <v>LafargeHolcim - Kenya</v>
      </c>
      <c r="K164" t="str">
        <v>OrganisationGroup</v>
      </c>
      <c r="L164" t="str">
        <v>E. Africa Standard Time</v>
      </c>
      <c r="M164">
        <v>0</v>
      </c>
    </row>
    <row r="165">
      <c r="A165" t="str">
        <v>A2509629310661168450</v>
      </c>
      <c r="B165" t="str">
        <v>System</v>
      </c>
      <c r="C165" t="str">
        <v>Internal Battery excessive trickle charge time</v>
      </c>
      <c r="D165" t="str">
        <v>Internal Battery excessive trickle charge time</v>
      </c>
      <c r="E165" t="e">
        <f>VLOOKUP(C:C,Sheet1!A:A,1,0)</f>
        <v>#N/A</v>
      </c>
      <c r="F165" t="str">
        <v>Internal Battery backup voltage</v>
      </c>
      <c r="G165" t="str">
        <v>Value</v>
      </c>
      <c r="H165" t="str">
        <v>V</v>
      </c>
      <c r="I165" t="str">
        <v>A3522792081055458809</v>
      </c>
      <c r="J165" t="str">
        <v>LafargeHolcim - Kenya</v>
      </c>
      <c r="K165" t="str">
        <v>OrganisationGroup</v>
      </c>
      <c r="L165" t="str">
        <v>E. Africa Standard Time</v>
      </c>
      <c r="M165">
        <v>0</v>
      </c>
    </row>
    <row r="166">
      <c r="A166" t="str">
        <v>A-7331460222675020014</v>
      </c>
      <c r="B166" t="str">
        <v>System</v>
      </c>
      <c r="C166" t="str">
        <v>Internal Battery excessive ripple voltage</v>
      </c>
      <c r="D166" t="str">
        <v>Internal Battery excessive ripple voltage</v>
      </c>
      <c r="E166" t="e">
        <f>VLOOKUP(C:C,Sheet1!A:A,1,0)</f>
        <v>#N/A</v>
      </c>
      <c r="F166" t="str">
        <v>Internal Battery backup voltage</v>
      </c>
      <c r="G166" t="str">
        <v>Value</v>
      </c>
      <c r="H166" t="str">
        <v>V</v>
      </c>
      <c r="I166" t="str">
        <v>A3522792081055458809</v>
      </c>
      <c r="J166" t="str">
        <v>LafargeHolcim - Kenya</v>
      </c>
      <c r="K166" t="str">
        <v>OrganisationGroup</v>
      </c>
      <c r="L166" t="str">
        <v>E. Africa Standard Time</v>
      </c>
      <c r="M166">
        <v>0</v>
      </c>
    </row>
    <row r="167">
      <c r="A167" t="str">
        <v>A4297061165319385759</v>
      </c>
      <c r="B167" t="str">
        <v>System</v>
      </c>
      <c r="C167" t="str">
        <v>Over revving - WARNING</v>
      </c>
      <c r="D167" t="str">
        <v>Over revving - WARNING</v>
      </c>
      <c r="E167" t="e">
        <f>VLOOKUP(C:C,Sheet1!A:A,1,0)</f>
        <v>#N/A</v>
      </c>
      <c r="I167" t="str">
        <v>A3522792081055458809</v>
      </c>
      <c r="J167" t="str">
        <v>LafargeHolcim - Kenya</v>
      </c>
      <c r="K167" t="str">
        <v>OrganisationGroup</v>
      </c>
      <c r="L167" t="str">
        <v>E. Africa Standard Time</v>
      </c>
      <c r="M167">
        <v>0</v>
      </c>
    </row>
    <row r="168">
      <c r="A168" t="str">
        <v>A-8210288154956195384</v>
      </c>
      <c r="B168" t="str">
        <v>Diagnostic</v>
      </c>
      <c r="C168" t="str">
        <v>Alarm: Dash Tamper</v>
      </c>
      <c r="D168" t="str">
        <v>Alarm: Dash Tamper</v>
      </c>
      <c r="E168" t="e">
        <f>VLOOKUP(C:C,Sheet1!A:A,1,0)</f>
        <v>#N/A</v>
      </c>
      <c r="I168" t="str">
        <v>A3522792081055458809</v>
      </c>
      <c r="J168" t="str">
        <v>LafargeHolcim - Kenya</v>
      </c>
      <c r="K168" t="str">
        <v>OrganisationGroup</v>
      </c>
      <c r="L168" t="str">
        <v>E. Africa Standard Time</v>
      </c>
      <c r="M168">
        <v>0</v>
      </c>
    </row>
    <row r="169">
      <c r="A169" t="str">
        <v>A-2953343767535203732</v>
      </c>
      <c r="B169" t="str">
        <v>Diagnostic</v>
      </c>
      <c r="C169" t="str">
        <v>Diagnostic: No GSM Coverage</v>
      </c>
      <c r="D169" t="str">
        <v>Diagnostic: No GSM Coverage</v>
      </c>
      <c r="E169" t="e">
        <f>VLOOKUP(C:C,Sheet1!A:A,1,0)</f>
        <v>#N/A</v>
      </c>
      <c r="F169" t="str">
        <v>GSM in coverage</v>
      </c>
      <c r="G169" t="str">
        <v>Boolean</v>
      </c>
      <c r="I169" t="str">
        <v>A3522792081055458809</v>
      </c>
      <c r="J169" t="str">
        <v>LafargeHolcim - Kenya</v>
      </c>
      <c r="K169" t="str">
        <v>OrganisationGroup</v>
      </c>
      <c r="L169" t="str">
        <v>E. Africa Standard Time</v>
      </c>
      <c r="M169">
        <v>0</v>
      </c>
    </row>
    <row r="170">
      <c r="A170" t="str">
        <v>A7649064213173525415</v>
      </c>
      <c r="B170" t="str">
        <v>Diagnostic</v>
      </c>
      <c r="C170" t="str">
        <v>Alert: Possible Power Tamper</v>
      </c>
      <c r="D170" t="str">
        <v>Alert: Possible Power Tamper</v>
      </c>
      <c r="E170" t="e">
        <f>VLOOKUP(C:C,Sheet1!A:A,1,0)</f>
        <v>#N/A</v>
      </c>
      <c r="I170" t="str">
        <v>A3522792081055458809</v>
      </c>
      <c r="J170" t="str">
        <v>LafargeHolcim - Kenya</v>
      </c>
      <c r="K170" t="str">
        <v>OrganisationGroup</v>
      </c>
      <c r="L170" t="str">
        <v>E. Africa Standard Time</v>
      </c>
      <c r="M170">
        <v>0</v>
      </c>
    </row>
    <row r="171">
      <c r="A171" t="str">
        <v>A-4398378188999478703</v>
      </c>
      <c r="B171" t="str">
        <v>Default</v>
      </c>
      <c r="C171" t="str">
        <v>3-Axis – Harsh Cornering</v>
      </c>
      <c r="D171" t="str">
        <v>3-Axis – Harsh Cornering</v>
      </c>
      <c r="E171" t="e">
        <f>VLOOKUP(C:C,Sheet1!A:A,1,0)</f>
        <v>#N/A</v>
      </c>
      <c r="F171" t="str">
        <v>3-Axis Cornering G-Force (High Sensitivity)</v>
      </c>
      <c r="G171" t="str">
        <v>Value</v>
      </c>
      <c r="H171" t="str">
        <v>G</v>
      </c>
      <c r="I171" t="str">
        <v>A3522792081055458809</v>
      </c>
      <c r="J171" t="str">
        <v>LafargeHolcim - Kenya</v>
      </c>
      <c r="K171" t="str">
        <v>OrganisationGroup</v>
      </c>
      <c r="L171" t="str">
        <v>E. Africa Standard Time</v>
      </c>
      <c r="M171">
        <v>0</v>
      </c>
    </row>
    <row r="172">
      <c r="A172" t="str">
        <v>A-4313373244482545430</v>
      </c>
      <c r="B172" t="str">
        <v>Default</v>
      </c>
      <c r="C172" t="str">
        <v>DriveMate Mode Change</v>
      </c>
      <c r="D172" t="str">
        <v>DriveMate Mode Change</v>
      </c>
      <c r="E172" t="e">
        <f>VLOOKUP(C:C,Sheet1!A:A,1,0)</f>
        <v>#N/A</v>
      </c>
      <c r="I172" t="str">
        <v>A3522792081055458809</v>
      </c>
      <c r="J172" t="str">
        <v>LafargeHolcim - Kenya</v>
      </c>
      <c r="K172" t="str">
        <v>OrganisationGroup</v>
      </c>
      <c r="L172" t="str">
        <v>E. Africa Standard Time</v>
      </c>
      <c r="M172">
        <v>0</v>
      </c>
    </row>
    <row r="173">
      <c r="A173" t="str">
        <v>A1583185484016020443</v>
      </c>
      <c r="B173" t="str">
        <v>Diagnostic</v>
      </c>
      <c r="C173" t="str">
        <v>GPS antenna disconnected</v>
      </c>
      <c r="D173" t="str">
        <v>GPS antenna disconnected</v>
      </c>
      <c r="E173" t="e">
        <f>VLOOKUP(C:C,Sheet1!A:A,1,0)</f>
        <v>#N/A</v>
      </c>
      <c r="I173" t="str">
        <v>A3522792081055458809</v>
      </c>
      <c r="J173" t="str">
        <v>LafargeHolcim - Kenya</v>
      </c>
      <c r="K173" t="str">
        <v>OrganisationGroup</v>
      </c>
      <c r="L173" t="str">
        <v>E. Africa Standard Time</v>
      </c>
      <c r="M173">
        <v>0</v>
      </c>
    </row>
    <row r="174">
      <c r="A174" t="str">
        <v>A8279699361721477561</v>
      </c>
      <c r="B174" t="str">
        <v>Diagnostic</v>
      </c>
      <c r="C174" t="str">
        <v>GPS jamming</v>
      </c>
      <c r="D174" t="str">
        <v>GPS jamming</v>
      </c>
      <c r="E174" t="e">
        <f>VLOOKUP(C:C,Sheet1!A:A,1,0)</f>
        <v>#N/A</v>
      </c>
      <c r="I174" t="str">
        <v>A3522792081055458809</v>
      </c>
      <c r="J174" t="str">
        <v>LafargeHolcim - Kenya</v>
      </c>
      <c r="K174" t="str">
        <v>OrganisationGroup</v>
      </c>
      <c r="L174" t="str">
        <v>E. Africa Standard Time</v>
      </c>
      <c r="M174">
        <v>0</v>
      </c>
    </row>
    <row r="175">
      <c r="A175" t="str">
        <v>A-8029738862728024973</v>
      </c>
      <c r="B175" t="str">
        <v>Diagnostic</v>
      </c>
      <c r="C175" t="str">
        <v>Power Connected</v>
      </c>
      <c r="D175" t="str">
        <v>Power Connected</v>
      </c>
      <c r="E175" t="e">
        <f>VLOOKUP(C:C,Sheet1!A:A,1,0)</f>
        <v>#N/A</v>
      </c>
      <c r="I175" t="str">
        <v>A3522792081055458809</v>
      </c>
      <c r="J175" t="str">
        <v>LafargeHolcim - Kenya</v>
      </c>
      <c r="K175" t="str">
        <v>OrganisationGroup</v>
      </c>
      <c r="L175" t="str">
        <v>E. Africa Standard Time</v>
      </c>
      <c r="M175">
        <v>0</v>
      </c>
    </row>
    <row r="176">
      <c r="A176" t="str">
        <v>A-5216494573062889708</v>
      </c>
      <c r="B176" t="str">
        <v>Diagnostic</v>
      </c>
      <c r="C176" t="str">
        <v>Backup battery disconnected</v>
      </c>
      <c r="D176" t="str">
        <v>Backup battery disconnected</v>
      </c>
      <c r="E176" t="e">
        <f>VLOOKUP(C:C,Sheet1!A:A,1,0)</f>
        <v>#N/A</v>
      </c>
      <c r="I176" t="str">
        <v>A3522792081055458809</v>
      </c>
      <c r="J176" t="str">
        <v>LafargeHolcim - Kenya</v>
      </c>
      <c r="K176" t="str">
        <v>OrganisationGroup</v>
      </c>
      <c r="L176" t="str">
        <v>E. Africa Standard Time</v>
      </c>
      <c r="M176">
        <v>0</v>
      </c>
    </row>
    <row r="177">
      <c r="A177" t="str">
        <v>A5772499989462844542</v>
      </c>
      <c r="B177" t="str">
        <v>Diagnostic</v>
      </c>
      <c r="C177" t="str">
        <v>Front panel tamper detected</v>
      </c>
      <c r="D177" t="str">
        <v>Front panel tamper detected</v>
      </c>
      <c r="E177" t="e">
        <f>VLOOKUP(C:C,Sheet1!A:A,1,0)</f>
        <v>#N/A</v>
      </c>
      <c r="I177" t="str">
        <v>A3522792081055458809</v>
      </c>
      <c r="J177" t="str">
        <v>LafargeHolcim - Kenya</v>
      </c>
      <c r="K177" t="str">
        <v>OrganisationGroup</v>
      </c>
      <c r="L177" t="str">
        <v>E. Africa Standard Time</v>
      </c>
      <c r="M177">
        <v>0</v>
      </c>
    </row>
    <row r="178">
      <c r="A178" t="str">
        <v>A1265128955935347562</v>
      </c>
      <c r="B178" t="str">
        <v>Diagnostic</v>
      </c>
      <c r="C178" t="str">
        <v>Back panel tamper detected</v>
      </c>
      <c r="D178" t="str">
        <v>Back panel tamper detected</v>
      </c>
      <c r="E178" t="e">
        <f>VLOOKUP(C:C,Sheet1!A:A,1,0)</f>
        <v>#N/A</v>
      </c>
      <c r="I178" t="str">
        <v>A3522792081055458809</v>
      </c>
      <c r="J178" t="str">
        <v>LafargeHolcim - Kenya</v>
      </c>
      <c r="K178" t="str">
        <v>OrganisationGroup</v>
      </c>
      <c r="L178" t="str">
        <v>E. Africa Standard Time</v>
      </c>
      <c r="M178">
        <v>0</v>
      </c>
    </row>
    <row r="179">
      <c r="A179" t="str">
        <v>A7032263543197595458</v>
      </c>
      <c r="B179" t="str">
        <v>System</v>
      </c>
      <c r="C179" t="str">
        <v>Battery disconnected</v>
      </c>
      <c r="D179" t="str">
        <v>Battery disconnected</v>
      </c>
      <c r="E179" t="e">
        <f>VLOOKUP(C:C,Sheet1!A:A,1,0)</f>
        <v>#N/A</v>
      </c>
      <c r="F179" t="str">
        <v>Battery disconnect date/time</v>
      </c>
      <c r="G179" t="str">
        <v>DateTime</v>
      </c>
      <c r="I179" t="str">
        <v>A3522792081055458809</v>
      </c>
      <c r="J179" t="str">
        <v>LafargeHolcim - Kenya</v>
      </c>
      <c r="K179" t="str">
        <v>OrganisationGroup</v>
      </c>
      <c r="L179" t="str">
        <v>E. Africa Standard Time</v>
      </c>
      <c r="M179">
        <v>0</v>
      </c>
    </row>
    <row r="180">
      <c r="A180" t="str">
        <v>A-1436104788329512077</v>
      </c>
      <c r="B180" t="str">
        <v>System</v>
      </c>
      <c r="C180" t="str">
        <v>Start of trip fuel tank level percentage</v>
      </c>
      <c r="D180" t="str">
        <v>Start of trip fuel tank level percentage</v>
      </c>
      <c r="E180" t="e">
        <f>VLOOKUP(C:C,Sheet1!A:A,1,0)</f>
        <v>#N/A</v>
      </c>
      <c r="F180" t="str">
        <v>FM Fuel level</v>
      </c>
      <c r="G180" t="str">
        <v>Value</v>
      </c>
      <c r="H180" t="str">
        <v>%</v>
      </c>
      <c r="I180" t="str">
        <v>A3522792081055458809</v>
      </c>
      <c r="J180" t="str">
        <v>LafargeHolcim - Kenya</v>
      </c>
      <c r="K180" t="str">
        <v>OrganisationGroup</v>
      </c>
      <c r="L180" t="str">
        <v>E. Africa Standard Time</v>
      </c>
      <c r="M180">
        <v>0</v>
      </c>
    </row>
    <row r="181">
      <c r="A181" t="str">
        <v>A-170173368564016851</v>
      </c>
      <c r="B181" t="str">
        <v>System</v>
      </c>
      <c r="C181" t="str">
        <v>End of trip fuel tank level percentage</v>
      </c>
      <c r="D181" t="str">
        <v>End of trip fuel tank level percentage</v>
      </c>
      <c r="E181" t="e">
        <f>VLOOKUP(C:C,Sheet1!A:A,1,0)</f>
        <v>#N/A</v>
      </c>
      <c r="F181" t="str">
        <v>FM Fuel level</v>
      </c>
      <c r="G181" t="str">
        <v>Value</v>
      </c>
      <c r="H181" t="str">
        <v>%</v>
      </c>
      <c r="I181" t="str">
        <v>A3522792081055458809</v>
      </c>
      <c r="J181" t="str">
        <v>LafargeHolcim - Kenya</v>
      </c>
      <c r="K181" t="str">
        <v>OrganisationGroup</v>
      </c>
      <c r="L181" t="str">
        <v>E. Africa Standard Time</v>
      </c>
      <c r="M181">
        <v>0</v>
      </c>
    </row>
    <row r="182">
      <c r="A182" t="str">
        <v>A5390829139648223269</v>
      </c>
      <c r="B182" t="str">
        <v>System</v>
      </c>
      <c r="C182" t="str">
        <v>Start of trip state of charge</v>
      </c>
      <c r="D182" t="str">
        <v>Start of trip state of charge</v>
      </c>
      <c r="E182" t="e">
        <f>VLOOKUP(C:C,Sheet1!A:A,1,0)</f>
        <v>#N/A</v>
      </c>
      <c r="F182" t="str">
        <v>EV CAN: State of charge</v>
      </c>
      <c r="G182" t="str">
        <v>Value</v>
      </c>
      <c r="H182" t="str">
        <v>%</v>
      </c>
      <c r="I182" t="str">
        <v>A3522792081055458809</v>
      </c>
      <c r="J182" t="str">
        <v>LafargeHolcim - Kenya</v>
      </c>
      <c r="K182" t="str">
        <v>OrganisationGroup</v>
      </c>
      <c r="L182" t="str">
        <v>E. Africa Standard Time</v>
      </c>
      <c r="M182">
        <v>0</v>
      </c>
    </row>
    <row r="183">
      <c r="A183" t="str">
        <v>A5748917249111149801</v>
      </c>
      <c r="B183" t="str">
        <v>System</v>
      </c>
      <c r="C183" t="str">
        <v>End of trip state of charge</v>
      </c>
      <c r="D183" t="str">
        <v>End of trip state of charge</v>
      </c>
      <c r="E183" t="e">
        <f>VLOOKUP(C:C,Sheet1!A:A,1,0)</f>
        <v>#N/A</v>
      </c>
      <c r="F183" t="str">
        <v>EV CAN: State of charge</v>
      </c>
      <c r="G183" t="str">
        <v>Value</v>
      </c>
      <c r="H183" t="str">
        <v>%</v>
      </c>
      <c r="I183" t="str">
        <v>A3522792081055458809</v>
      </c>
      <c r="J183" t="str">
        <v>LafargeHolcim - Kenya</v>
      </c>
      <c r="K183" t="str">
        <v>OrganisationGroup</v>
      </c>
      <c r="L183" t="str">
        <v>E. Africa Standard Time</v>
      </c>
      <c r="M183">
        <v>0</v>
      </c>
    </row>
    <row r="184">
      <c r="A184" t="str">
        <v>A769714021091545261</v>
      </c>
      <c r="B184" t="str">
        <v>System</v>
      </c>
      <c r="C184" t="str">
        <v>Driver door open</v>
      </c>
      <c r="D184" t="str">
        <v>Driver door open</v>
      </c>
      <c r="E184" t="e">
        <f>VLOOKUP(C:C,Sheet1!A:A,1,0)</f>
        <v>#N/A</v>
      </c>
      <c r="F184" t="str">
        <v>FM CAN: Driver Door 1</v>
      </c>
      <c r="G184" t="str">
        <v>Value</v>
      </c>
      <c r="I184" t="str">
        <v>A3522792081055458809</v>
      </c>
      <c r="J184" t="str">
        <v>LafargeHolcim - Kenya</v>
      </c>
      <c r="K184" t="str">
        <v>OrganisationGroup</v>
      </c>
      <c r="L184" t="str">
        <v>E. Africa Standard Time</v>
      </c>
      <c r="M184">
        <v>0</v>
      </c>
    </row>
    <row r="185">
      <c r="A185" t="str">
        <v>A-6331698441835955960</v>
      </c>
      <c r="B185" t="str">
        <v>System</v>
      </c>
      <c r="C185" t="str">
        <v>Passenger door open</v>
      </c>
      <c r="D185" t="str">
        <v>Passenger door open</v>
      </c>
      <c r="E185" t="e">
        <f>VLOOKUP(C:C,Sheet1!A:A,1,0)</f>
        <v>#N/A</v>
      </c>
      <c r="F185" t="str">
        <v>FM CAN: Passenger Door 1</v>
      </c>
      <c r="G185" t="str">
        <v>Value</v>
      </c>
      <c r="I185" t="str">
        <v>A3522792081055458809</v>
      </c>
      <c r="J185" t="str">
        <v>LafargeHolcim - Kenya</v>
      </c>
      <c r="K185" t="str">
        <v>OrganisationGroup</v>
      </c>
      <c r="L185" t="str">
        <v>E. Africa Standard Time</v>
      </c>
      <c r="M185">
        <v>0</v>
      </c>
    </row>
    <row r="186">
      <c r="A186" t="str">
        <v>A5160625119091753479</v>
      </c>
      <c r="B186" t="str">
        <v>System</v>
      </c>
      <c r="C186" t="str">
        <v>Driver seatbelt not engaged</v>
      </c>
      <c r="D186" t="str">
        <v>Driver seatbelt not engaged</v>
      </c>
      <c r="E186" t="e">
        <f>VLOOKUP(C:C,Sheet1!A:A,1,0)</f>
        <v>#N/A</v>
      </c>
      <c r="F186" t="str">
        <v>FM CAN: Seat Belt State</v>
      </c>
      <c r="G186" t="str">
        <v>Value</v>
      </c>
      <c r="I186" t="str">
        <v>A3522792081055458809</v>
      </c>
      <c r="J186" t="str">
        <v>LafargeHolcim - Kenya</v>
      </c>
      <c r="K186" t="str">
        <v>OrganisationGroup</v>
      </c>
      <c r="L186" t="str">
        <v>E. Africa Standard Time</v>
      </c>
      <c r="M186">
        <v>0</v>
      </c>
    </row>
    <row r="187">
      <c r="A187" t="str">
        <v>A5371300709033963442</v>
      </c>
      <c r="B187" t="str">
        <v>System</v>
      </c>
      <c r="C187" t="str">
        <v>Passenger seatbelt not engaged</v>
      </c>
      <c r="D187" t="str">
        <v>Passenger seatbelt not engaged</v>
      </c>
      <c r="E187" t="e">
        <f>VLOOKUP(C:C,Sheet1!A:A,1,0)</f>
        <v>#N/A</v>
      </c>
      <c r="F187" t="str">
        <v>FM CAN: Passenger Seat Belt Status</v>
      </c>
      <c r="G187" t="str">
        <v>Value</v>
      </c>
      <c r="I187" t="str">
        <v>A3522792081055458809</v>
      </c>
      <c r="J187" t="str">
        <v>LafargeHolcim - Kenya</v>
      </c>
      <c r="K187" t="str">
        <v>OrganisationGroup</v>
      </c>
      <c r="L187" t="str">
        <v>E. Africa Standard Time</v>
      </c>
      <c r="M187">
        <v>0</v>
      </c>
    </row>
    <row r="188">
      <c r="A188" t="str">
        <v>A-4082655169988672233</v>
      </c>
      <c r="B188" t="str">
        <v>System</v>
      </c>
      <c r="C188" t="str">
        <v>Diagnostic trouble code</v>
      </c>
      <c r="D188" t="str">
        <v>Diagnostic trouble code</v>
      </c>
      <c r="E188" t="e">
        <f>VLOOKUP(C:C,Sheet1!A:A,1,0)</f>
        <v>#N/A</v>
      </c>
      <c r="F188" t="str">
        <v>FMS Active Diagnostic Trouble Codes</v>
      </c>
      <c r="G188" t="str">
        <v>Value</v>
      </c>
      <c r="I188" t="str">
        <v>A3522792081055458809</v>
      </c>
      <c r="J188" t="str">
        <v>LafargeHolcim - Kenya</v>
      </c>
      <c r="K188" t="str">
        <v>OrganisationGroup</v>
      </c>
      <c r="L188" t="str">
        <v>E. Africa Standard Time</v>
      </c>
      <c r="M188">
        <v>0</v>
      </c>
    </row>
    <row r="189">
      <c r="A189" t="str">
        <v>A-6079465181680378697</v>
      </c>
      <c r="B189" t="str">
        <v>System</v>
      </c>
      <c r="C189" t="str">
        <v>Engine coolant temperature high</v>
      </c>
      <c r="D189" t="str">
        <v>Engine coolant temperature high</v>
      </c>
      <c r="E189" t="e">
        <f>VLOOKUP(C:C,Sheet1!A:A,1,0)</f>
        <v>#N/A</v>
      </c>
      <c r="F189" t="str">
        <v>FMS Engine Coolant Temperature</v>
      </c>
      <c r="G189" t="str">
        <v>Value</v>
      </c>
      <c r="H189" t="str">
        <v>°C</v>
      </c>
      <c r="I189" t="str">
        <v>A3522792081055458809</v>
      </c>
      <c r="J189" t="str">
        <v>LafargeHolcim - Kenya</v>
      </c>
      <c r="K189" t="str">
        <v>OrganisationGroup</v>
      </c>
      <c r="L189" t="str">
        <v>E. Africa Standard Time</v>
      </c>
      <c r="M189">
        <v>0</v>
      </c>
    </row>
    <row r="190">
      <c r="A190" t="str">
        <v>A6010815209500410149</v>
      </c>
      <c r="B190" t="str">
        <v>System</v>
      </c>
      <c r="C190" t="str">
        <v>Engine Oil Pressure low</v>
      </c>
      <c r="D190" t="str">
        <v>Engine Oil Pressure low</v>
      </c>
      <c r="E190" t="e">
        <f>VLOOKUP(C:C,Sheet1!A:A,1,0)</f>
        <v>#N/A</v>
      </c>
      <c r="F190" t="str">
        <v>FMS DM Engine Oil Pressure</v>
      </c>
      <c r="G190" t="str">
        <v>Value</v>
      </c>
      <c r="H190" t="str">
        <v>kPa</v>
      </c>
      <c r="I190" t="str">
        <v>A3522792081055458809</v>
      </c>
      <c r="J190" t="str">
        <v>LafargeHolcim - Kenya</v>
      </c>
      <c r="K190" t="str">
        <v>OrganisationGroup</v>
      </c>
      <c r="L190" t="str">
        <v>E. Africa Standard Time</v>
      </c>
      <c r="M190">
        <v>0</v>
      </c>
    </row>
    <row r="191">
      <c r="A191" t="str">
        <v>A4765990693530272682</v>
      </c>
      <c r="B191" t="str">
        <v>System</v>
      </c>
      <c r="C191" t="str">
        <v>Engine Oil level low</v>
      </c>
      <c r="D191" t="str">
        <v>Engine Oil level low</v>
      </c>
      <c r="E191" t="e">
        <f>VLOOKUP(C:C,Sheet1!A:A,1,0)</f>
        <v>#N/A</v>
      </c>
      <c r="F191" t="str">
        <v>FMS Engine Oil Level</v>
      </c>
      <c r="G191" t="str">
        <v>Value</v>
      </c>
      <c r="H191" t="str">
        <v>%</v>
      </c>
      <c r="I191" t="str">
        <v>A3522792081055458809</v>
      </c>
      <c r="J191" t="str">
        <v>LafargeHolcim - Kenya</v>
      </c>
      <c r="K191" t="str">
        <v>OrganisationGroup</v>
      </c>
      <c r="L191" t="str">
        <v>E. Africa Standard Time</v>
      </c>
      <c r="M191">
        <v>0</v>
      </c>
    </row>
    <row r="192">
      <c r="A192" t="str">
        <v>A-8345629639166961928</v>
      </c>
      <c r="B192" t="str">
        <v>System</v>
      </c>
      <c r="C192" t="str">
        <v>Possible impact when parked</v>
      </c>
      <c r="D192" t="str">
        <v>Possible impact when parked</v>
      </c>
      <c r="E192" t="e">
        <f>VLOOKUP(C:C,Sheet1!A:A,1,0)</f>
        <v>#N/A</v>
      </c>
      <c r="F192" t="str">
        <v>3-Axis Impact Severity</v>
      </c>
      <c r="G192" t="str">
        <v>Value</v>
      </c>
      <c r="H192" t="str">
        <v>g</v>
      </c>
      <c r="I192" t="str">
        <v>A3522792081055458809</v>
      </c>
      <c r="J192" t="str">
        <v>LafargeHolcim - Kenya</v>
      </c>
      <c r="K192" t="str">
        <v>OrganisationGroup</v>
      </c>
      <c r="L192" t="str">
        <v>E. Africa Standard Time</v>
      </c>
      <c r="M192">
        <v>0</v>
      </c>
    </row>
    <row r="193">
      <c r="A193" t="str">
        <v>A6927212312623806423</v>
      </c>
      <c r="B193" t="str">
        <v>System</v>
      </c>
      <c r="C193" t="str">
        <v>Possible impact</v>
      </c>
      <c r="D193" t="str">
        <v>Possible impact</v>
      </c>
      <c r="E193" t="str">
        <v>Possible impact</v>
      </c>
      <c r="F193" t="str">
        <v>3-Axis Impact Severity</v>
      </c>
      <c r="G193" t="str">
        <v>Value</v>
      </c>
      <c r="H193" t="str">
        <v>g</v>
      </c>
      <c r="I193" t="str">
        <v>A3522792081055458809</v>
      </c>
      <c r="J193" t="str">
        <v>LafargeHolcim - Kenya</v>
      </c>
      <c r="K193" t="str">
        <v>OrganisationGroup</v>
      </c>
      <c r="L193" t="str">
        <v>E. Africa Standard Time</v>
      </c>
      <c r="M193">
        <v>1</v>
      </c>
    </row>
    <row r="194">
      <c r="A194" t="str">
        <v>A6063249394960572574</v>
      </c>
      <c r="B194" t="str">
        <v>System</v>
      </c>
      <c r="C194" t="str">
        <v>Possible Rollover</v>
      </c>
      <c r="D194" t="str">
        <v>Possible Rollover</v>
      </c>
      <c r="E194" t="e">
        <f>VLOOKUP(C:C,Sheet1!A:A,1,0)</f>
        <v>#N/A</v>
      </c>
      <c r="F194" t="str">
        <v>3-Axis X-Axis Rotation</v>
      </c>
      <c r="G194" t="str">
        <v>Value</v>
      </c>
      <c r="I194" t="str">
        <v>A3522792081055458809</v>
      </c>
      <c r="J194" t="str">
        <v>LafargeHolcim - Kenya</v>
      </c>
      <c r="K194" t="str">
        <v>OrganisationGroup</v>
      </c>
      <c r="L194" t="str">
        <v>E. Africa Standard Time</v>
      </c>
      <c r="M194">
        <v>0</v>
      </c>
    </row>
    <row r="195">
      <c r="A195" t="str">
        <v>A-2439674153577661748</v>
      </c>
      <c r="B195" t="str">
        <v>System</v>
      </c>
      <c r="C195" t="str">
        <v>Engine light (MIL) on</v>
      </c>
      <c r="D195" t="str">
        <v>Engine light (MIL) on</v>
      </c>
      <c r="E195" t="e">
        <f>VLOOKUP(C:C,Sheet1!A:A,1,0)</f>
        <v>#N/A</v>
      </c>
      <c r="F195" t="str">
        <v>FMS Engine fault</v>
      </c>
      <c r="G195" t="str">
        <v>Value</v>
      </c>
      <c r="I195" t="str">
        <v>A3522792081055458809</v>
      </c>
      <c r="J195" t="str">
        <v>LafargeHolcim - Kenya</v>
      </c>
      <c r="K195" t="str">
        <v>OrganisationGroup</v>
      </c>
      <c r="L195" t="str">
        <v>E. Africa Standard Time</v>
      </c>
      <c r="M195">
        <v>0</v>
      </c>
    </row>
    <row r="196">
      <c r="A196" t="str">
        <v>A670980146124694777</v>
      </c>
      <c r="B196" t="str">
        <v>MiXVision</v>
      </c>
      <c r="C196" t="str">
        <v>MiX Vision: Lane departure warning</v>
      </c>
      <c r="D196" t="str">
        <v>MiX Vision: Lane departure warning</v>
      </c>
      <c r="E196" t="e">
        <f>VLOOKUP(C:C,Sheet1!A:A,1,0)</f>
        <v>#N/A</v>
      </c>
      <c r="I196" t="str">
        <v>A3522792081055458809</v>
      </c>
      <c r="J196" t="str">
        <v>LafargeHolcim - Kenya</v>
      </c>
      <c r="K196" t="str">
        <v>OrganisationGroup</v>
      </c>
      <c r="L196" t="str">
        <v>E. Africa Standard Time</v>
      </c>
      <c r="M196">
        <v>0</v>
      </c>
    </row>
    <row r="197">
      <c r="A197" t="str">
        <v>A6698868737266655739</v>
      </c>
      <c r="B197" t="str">
        <v>MiXVision</v>
      </c>
      <c r="C197" t="str">
        <v>MiX Vision: Forward collision warning</v>
      </c>
      <c r="D197" t="str">
        <v>MiX Vision: Forward collision warning</v>
      </c>
      <c r="E197" t="e">
        <f>VLOOKUP(C:C,Sheet1!A:A,1,0)</f>
        <v>#N/A</v>
      </c>
      <c r="I197" t="str">
        <v>A3522792081055458809</v>
      </c>
      <c r="J197" t="str">
        <v>LafargeHolcim - Kenya</v>
      </c>
      <c r="K197" t="str">
        <v>OrganisationGroup</v>
      </c>
      <c r="L197" t="str">
        <v>E. Africa Standard Time</v>
      </c>
      <c r="M197">
        <v>0</v>
      </c>
    </row>
    <row r="198">
      <c r="A198" t="str">
        <v>A-1712533633274024830</v>
      </c>
      <c r="B198" t="str">
        <v>MiXVision</v>
      </c>
      <c r="C198" t="str">
        <v>MiX Vision: Following distance warning</v>
      </c>
      <c r="D198" t="str">
        <v>MiX Vision: Following distance warning</v>
      </c>
      <c r="E198" t="e">
        <f>VLOOKUP(C:C,Sheet1!A:A,1,0)</f>
        <v>#N/A</v>
      </c>
      <c r="I198" t="str">
        <v>A3522792081055458809</v>
      </c>
      <c r="J198" t="str">
        <v>LafargeHolcim - Kenya</v>
      </c>
      <c r="K198" t="str">
        <v>OrganisationGroup</v>
      </c>
      <c r="L198" t="str">
        <v>E. Africa Standard Time</v>
      </c>
      <c r="M198">
        <v>0</v>
      </c>
    </row>
    <row r="199">
      <c r="A199" t="str">
        <v>A-480217926216925926</v>
      </c>
      <c r="B199" t="str">
        <v>MiXVision</v>
      </c>
      <c r="C199" t="str">
        <v>MiX Vision: Driver fatigue - eye closing</v>
      </c>
      <c r="D199" t="str">
        <v>MiX Vision: Driver fatigue - eye closing</v>
      </c>
      <c r="E199" t="e">
        <f>VLOOKUP(C:C,Sheet1!A:A,1,0)</f>
        <v>#N/A</v>
      </c>
      <c r="I199" t="str">
        <v>A3522792081055458809</v>
      </c>
      <c r="J199" t="str">
        <v>LafargeHolcim - Kenya</v>
      </c>
      <c r="K199" t="str">
        <v>OrganisationGroup</v>
      </c>
      <c r="L199" t="str">
        <v>E. Africa Standard Time</v>
      </c>
      <c r="M199">
        <v>0</v>
      </c>
    </row>
    <row r="200">
      <c r="A200" t="str">
        <v>A4182509794703245564</v>
      </c>
      <c r="B200" t="str">
        <v>MiXVision</v>
      </c>
      <c r="C200" t="str">
        <v>MiX Vision: No driver</v>
      </c>
      <c r="D200" t="str">
        <v>MiX Vision: No driver</v>
      </c>
      <c r="E200" t="e">
        <f>VLOOKUP(C:C,Sheet1!A:A,1,0)</f>
        <v>#N/A</v>
      </c>
      <c r="I200" t="str">
        <v>A3522792081055458809</v>
      </c>
      <c r="J200" t="str">
        <v>LafargeHolcim - Kenya</v>
      </c>
      <c r="K200" t="str">
        <v>OrganisationGroup</v>
      </c>
      <c r="L200" t="str">
        <v>E. Africa Standard Time</v>
      </c>
      <c r="M200">
        <v>0</v>
      </c>
    </row>
    <row r="201">
      <c r="A201" t="str">
        <v>A5790861721889710462</v>
      </c>
      <c r="B201" t="str">
        <v>MiXVision</v>
      </c>
      <c r="C201" t="str">
        <v>MiX Vision: Mobile phone distraction</v>
      </c>
      <c r="D201" t="str">
        <v>MiX Vision: Mobile phone distraction</v>
      </c>
      <c r="E201" t="e">
        <f>VLOOKUP(C:C,Sheet1!A:A,1,0)</f>
        <v>#N/A</v>
      </c>
      <c r="I201" t="str">
        <v>A3522792081055458809</v>
      </c>
      <c r="J201" t="str">
        <v>LafargeHolcim - Kenya</v>
      </c>
      <c r="K201" t="str">
        <v>OrganisationGroup</v>
      </c>
      <c r="L201" t="str">
        <v>E. Africa Standard Time</v>
      </c>
      <c r="M201">
        <v>0</v>
      </c>
    </row>
    <row r="202">
      <c r="A202" t="str">
        <v>A3044842204790820242</v>
      </c>
      <c r="B202" t="str">
        <v>MiXVision</v>
      </c>
      <c r="C202" t="str">
        <v>MiX Vision: Driver smoking</v>
      </c>
      <c r="D202" t="str">
        <v>MiX Vision: Driver smoking</v>
      </c>
      <c r="E202" t="e">
        <f>VLOOKUP(C:C,Sheet1!A:A,1,0)</f>
        <v>#N/A</v>
      </c>
      <c r="I202" t="str">
        <v>A3522792081055458809</v>
      </c>
      <c r="J202" t="str">
        <v>LafargeHolcim - Kenya</v>
      </c>
      <c r="K202" t="str">
        <v>OrganisationGroup</v>
      </c>
      <c r="L202" t="str">
        <v>E. Africa Standard Time</v>
      </c>
      <c r="M202">
        <v>0</v>
      </c>
    </row>
    <row r="203">
      <c r="A203" t="str">
        <v>A-8300145843408847057</v>
      </c>
      <c r="B203" t="str">
        <v>MiXVision</v>
      </c>
      <c r="C203" t="str">
        <v>MiX Vision: Driver distraction</v>
      </c>
      <c r="D203" t="str">
        <v>MiX Vision: Driver distraction</v>
      </c>
      <c r="E203" t="e">
        <f>VLOOKUP(C:C,Sheet1!A:A,1,0)</f>
        <v>#N/A</v>
      </c>
      <c r="I203" t="str">
        <v>A3522792081055458809</v>
      </c>
      <c r="J203" t="str">
        <v>LafargeHolcim - Kenya</v>
      </c>
      <c r="K203" t="str">
        <v>OrganisationGroup</v>
      </c>
      <c r="L203" t="str">
        <v>E. Africa Standard Time</v>
      </c>
      <c r="M203">
        <v>0</v>
      </c>
    </row>
    <row r="204">
      <c r="A204" t="str">
        <v>A-9097769333405069134</v>
      </c>
      <c r="B204" t="str">
        <v>MiXVision</v>
      </c>
      <c r="C204" t="str">
        <v>MiX Vision: Driver fatigue - yawning</v>
      </c>
      <c r="D204" t="str">
        <v>MiX Vision: Driver fatigue - yawning</v>
      </c>
      <c r="E204" t="e">
        <f>VLOOKUP(C:C,Sheet1!A:A,1,0)</f>
        <v>#N/A</v>
      </c>
      <c r="I204" t="str">
        <v>A3522792081055458809</v>
      </c>
      <c r="J204" t="str">
        <v>LafargeHolcim - Kenya</v>
      </c>
      <c r="K204" t="str">
        <v>OrganisationGroup</v>
      </c>
      <c r="L204" t="str">
        <v>E. Africa Standard Time</v>
      </c>
      <c r="M204">
        <v>0</v>
      </c>
    </row>
    <row r="205">
      <c r="A205" t="str">
        <v>A807549500629766541</v>
      </c>
      <c r="B205" t="str">
        <v>MiXVision</v>
      </c>
      <c r="C205" t="str">
        <v>MiX Vision: Driver not wearing seatbelt</v>
      </c>
      <c r="D205" t="str">
        <v>MiX Vision: Driver not wearing seatbelt</v>
      </c>
      <c r="E205" t="e">
        <f>VLOOKUP(C:C,Sheet1!A:A,1,0)</f>
        <v>#N/A</v>
      </c>
      <c r="I205" t="str">
        <v>A3522792081055458809</v>
      </c>
      <c r="J205" t="str">
        <v>LafargeHolcim - Kenya</v>
      </c>
      <c r="K205" t="str">
        <v>OrganisationGroup</v>
      </c>
      <c r="L205" t="str">
        <v>E. Africa Standard Time</v>
      </c>
      <c r="M205">
        <v>0</v>
      </c>
    </row>
    <row r="206">
      <c r="A206" t="str">
        <v>A-4519354236393265619</v>
      </c>
      <c r="B206" t="str">
        <v>MiXVision</v>
      </c>
      <c r="C206" t="str">
        <v>MiX Vision: Motion detection</v>
      </c>
      <c r="D206" t="str">
        <v>MiX Vision: Motion detection</v>
      </c>
      <c r="E206" t="e">
        <f>VLOOKUP(C:C,Sheet1!A:A,1,0)</f>
        <v>#N/A</v>
      </c>
      <c r="I206" t="str">
        <v>A3522792081055458809</v>
      </c>
      <c r="J206" t="str">
        <v>LafargeHolcim - Kenya</v>
      </c>
      <c r="K206" t="str">
        <v>OrganisationGroup</v>
      </c>
      <c r="L206" t="str">
        <v>E. Africa Standard Time</v>
      </c>
      <c r="M206">
        <v>0</v>
      </c>
    </row>
    <row r="207">
      <c r="A207" t="str">
        <v>A280540917853524601</v>
      </c>
      <c r="B207" t="str">
        <v>MiXVision</v>
      </c>
      <c r="C207" t="str">
        <v>MiX Vision: Power loss</v>
      </c>
      <c r="D207" t="str">
        <v>MiX Vision: Power loss</v>
      </c>
      <c r="E207" t="e">
        <f>VLOOKUP(C:C,Sheet1!A:A,1,0)</f>
        <v>#N/A</v>
      </c>
      <c r="I207" t="str">
        <v>A3522792081055458809</v>
      </c>
      <c r="J207" t="str">
        <v>LafargeHolcim - Kenya</v>
      </c>
      <c r="K207" t="str">
        <v>OrganisationGroup</v>
      </c>
      <c r="L207" t="str">
        <v>E. Africa Standard Time</v>
      </c>
      <c r="M207">
        <v>0</v>
      </c>
    </row>
    <row r="208">
      <c r="A208" t="str">
        <v>A-8223674420093630323</v>
      </c>
      <c r="B208" t="str">
        <v>MiXVision</v>
      </c>
      <c r="C208" t="str">
        <v>MiX Vision: Video loss</v>
      </c>
      <c r="D208" t="str">
        <v>MiX Vision: Video loss</v>
      </c>
      <c r="E208" t="e">
        <f>VLOOKUP(C:C,Sheet1!A:A,1,0)</f>
        <v>#N/A</v>
      </c>
      <c r="I208" t="str">
        <v>A3522792081055458809</v>
      </c>
      <c r="J208" t="str">
        <v>LafargeHolcim - Kenya</v>
      </c>
      <c r="K208" t="str">
        <v>OrganisationGroup</v>
      </c>
      <c r="L208" t="str">
        <v>E. Africa Standard Time</v>
      </c>
      <c r="M208">
        <v>0</v>
      </c>
    </row>
    <row r="209">
      <c r="A209" t="str">
        <v>A401009318098363779</v>
      </c>
      <c r="B209" t="str">
        <v>MiXVision</v>
      </c>
      <c r="C209" t="str">
        <v>MiX Vision: Storage exception</v>
      </c>
      <c r="D209" t="str">
        <v>MiX Vision: Storage exception</v>
      </c>
      <c r="E209" t="e">
        <f>VLOOKUP(C:C,Sheet1!A:A,1,0)</f>
        <v>#N/A</v>
      </c>
      <c r="I209" t="str">
        <v>A3522792081055458809</v>
      </c>
      <c r="J209" t="str">
        <v>LafargeHolcim - Kenya</v>
      </c>
      <c r="K209" t="str">
        <v>OrganisationGroup</v>
      </c>
      <c r="L209" t="str">
        <v>E. Africa Standard Time</v>
      </c>
      <c r="M209">
        <v>0</v>
      </c>
    </row>
    <row r="210">
      <c r="A210" t="str">
        <v>A1046470586347404899</v>
      </c>
      <c r="B210" t="str">
        <v>MiXVision</v>
      </c>
      <c r="C210" t="str">
        <v>MiX Vision: Low voltage</v>
      </c>
      <c r="D210" t="str">
        <v>MiX Vision: Low voltage</v>
      </c>
      <c r="E210" t="e">
        <f>VLOOKUP(C:C,Sheet1!A:A,1,0)</f>
        <v>#N/A</v>
      </c>
      <c r="I210" t="str">
        <v>A3522792081055458809</v>
      </c>
      <c r="J210" t="str">
        <v>LafargeHolcim - Kenya</v>
      </c>
      <c r="K210" t="str">
        <v>OrganisationGroup</v>
      </c>
      <c r="L210" t="str">
        <v>E. Africa Standard Time</v>
      </c>
      <c r="M210">
        <v>0</v>
      </c>
    </row>
    <row r="211">
      <c r="A211" t="str">
        <v>A-898226872645200439</v>
      </c>
      <c r="B211" t="str">
        <v>Diagnostic</v>
      </c>
      <c r="C211" t="str">
        <v>MiX Vision: Event video requests capped</v>
      </c>
      <c r="D211" t="str">
        <v>MiX Vision: Event video requests capped</v>
      </c>
      <c r="E211" t="e">
        <f>VLOOKUP(C:C,Sheet1!A:A,1,0)</f>
        <v>#N/A</v>
      </c>
      <c r="I211" t="str">
        <v>A3522792081055458809</v>
      </c>
      <c r="J211" t="str">
        <v>LafargeHolcim - Kenya</v>
      </c>
      <c r="K211" t="str">
        <v>OrganisationGroup</v>
      </c>
      <c r="L211" t="str">
        <v>E. Africa Standard Time</v>
      </c>
      <c r="M211">
        <v>0</v>
      </c>
    </row>
    <row r="212">
      <c r="A212" t="str">
        <v>A150673821216952582</v>
      </c>
      <c r="B212" t="str">
        <v>System</v>
      </c>
      <c r="C212" t="str">
        <v>Driver side rear door open</v>
      </c>
      <c r="D212" t="str">
        <v>Driver side rear door open</v>
      </c>
      <c r="E212" t="e">
        <f>VLOOKUP(C:C,Sheet1!A:A,1,0)</f>
        <v>#N/A</v>
      </c>
      <c r="F212" t="str">
        <v>Rear door driver side state</v>
      </c>
      <c r="G212" t="str">
        <v>Value</v>
      </c>
      <c r="I212" t="str">
        <v>A3522792081055458809</v>
      </c>
      <c r="J212" t="str">
        <v>LafargeHolcim - Kenya</v>
      </c>
      <c r="K212" t="str">
        <v>OrganisationGroup</v>
      </c>
      <c r="L212" t="str">
        <v>E. Africa Standard Time</v>
      </c>
      <c r="M212">
        <v>0</v>
      </c>
    </row>
    <row r="213">
      <c r="A213" t="str">
        <v>A485554640130427396</v>
      </c>
      <c r="B213" t="str">
        <v>System</v>
      </c>
      <c r="C213" t="str">
        <v>Passenger side rear door open</v>
      </c>
      <c r="D213" t="str">
        <v>Passenger side rear door open</v>
      </c>
      <c r="E213" t="e">
        <f>VLOOKUP(C:C,Sheet1!A:A,1,0)</f>
        <v>#N/A</v>
      </c>
      <c r="F213" t="str">
        <v>Rear door passenger side state</v>
      </c>
      <c r="G213" t="str">
        <v>Value</v>
      </c>
      <c r="I213" t="str">
        <v>A3522792081055458809</v>
      </c>
      <c r="J213" t="str">
        <v>LafargeHolcim - Kenya</v>
      </c>
      <c r="K213" t="str">
        <v>OrganisationGroup</v>
      </c>
      <c r="L213" t="str">
        <v>E. Africa Standard Time</v>
      </c>
      <c r="M213">
        <v>0</v>
      </c>
    </row>
    <row r="214">
      <c r="A214" t="str">
        <v>A5981394396224030428</v>
      </c>
      <c r="B214" t="str">
        <v>External</v>
      </c>
      <c r="C214" t="str">
        <v>Jamming Detect</v>
      </c>
      <c r="D214" t="str">
        <v>Jamming Detect</v>
      </c>
      <c r="E214" t="e">
        <f>VLOOKUP(C:C,Sheet1!A:A,1,0)</f>
        <v>#N/A</v>
      </c>
      <c r="I214" t="str">
        <v>A3522792081055458809</v>
      </c>
      <c r="J214" t="str">
        <v>LafargeHolcim - Kenya</v>
      </c>
      <c r="K214" t="str">
        <v>OrganisationGroup</v>
      </c>
      <c r="L214" t="str">
        <v>E. Africa Standard Time</v>
      </c>
      <c r="M214">
        <v>0</v>
      </c>
    </row>
    <row r="215">
      <c r="A215" t="str">
        <v>A368238088758698029</v>
      </c>
      <c r="B215" t="str">
        <v>External</v>
      </c>
      <c r="C215" t="str">
        <v>Asset Towed</v>
      </c>
      <c r="D215" t="str">
        <v>Asset Towed</v>
      </c>
      <c r="E215" t="e">
        <f>VLOOKUP(C:C,Sheet1!A:A,1,0)</f>
        <v>#N/A</v>
      </c>
      <c r="I215" t="str">
        <v>A3522792081055458809</v>
      </c>
      <c r="J215" t="str">
        <v>LafargeHolcim - Kenya</v>
      </c>
      <c r="K215" t="str">
        <v>OrganisationGroup</v>
      </c>
      <c r="L215" t="str">
        <v>E. Africa Standard Time</v>
      </c>
      <c r="M215">
        <v>0</v>
      </c>
    </row>
    <row r="216">
      <c r="A216" t="str">
        <v>A1814841846951175422</v>
      </c>
      <c r="B216" t="str">
        <v>SoftDeleted</v>
      </c>
      <c r="C216" t="str">
        <v>Power Disconnect/Reconnect</v>
      </c>
      <c r="D216" t="str">
        <v>Power Disconnect/Reconnect</v>
      </c>
      <c r="E216" t="e">
        <f>VLOOKUP(C:C,Sheet1!A:A,1,0)</f>
        <v>#N/A</v>
      </c>
      <c r="I216" t="str">
        <v>A3522792081055458809</v>
      </c>
      <c r="J216" t="str">
        <v>LafargeHolcim - Kenya</v>
      </c>
      <c r="K216" t="str">
        <v>OrganisationGroup</v>
      </c>
      <c r="L216" t="str">
        <v>E. Africa Standard Time</v>
      </c>
      <c r="M216">
        <v>0</v>
      </c>
    </row>
    <row r="217">
      <c r="A217" t="str">
        <v>A6194584995452978134</v>
      </c>
      <c r="B217" t="str">
        <v>External</v>
      </c>
      <c r="C217" t="str">
        <v>Impact Detect</v>
      </c>
      <c r="D217" t="str">
        <v>Impact Detect</v>
      </c>
      <c r="E217" t="e">
        <f>VLOOKUP(C:C,Sheet1!A:A,1,0)</f>
        <v>#N/A</v>
      </c>
      <c r="I217" t="str">
        <v>A3522792081055458809</v>
      </c>
      <c r="J217" t="str">
        <v>LafargeHolcim - Kenya</v>
      </c>
      <c r="K217" t="str">
        <v>OrganisationGroup</v>
      </c>
      <c r="L217" t="str">
        <v>E. Africa Standard Time</v>
      </c>
      <c r="M217">
        <v>0</v>
      </c>
    </row>
    <row r="218">
      <c r="A218" t="str">
        <v>A-7995443436338294858</v>
      </c>
      <c r="B218" t="str">
        <v>External</v>
      </c>
      <c r="C218" t="str">
        <v>Excessive idle</v>
      </c>
      <c r="D218" t="str">
        <v>Excessive idle</v>
      </c>
      <c r="E218" t="e">
        <f>VLOOKUP(C:C,Sheet1!A:A,1,0)</f>
        <v>#N/A</v>
      </c>
      <c r="I218" t="str">
        <v>A3522792081055458809</v>
      </c>
      <c r="J218" t="str">
        <v>LafargeHolcim - Kenya</v>
      </c>
      <c r="K218" t="str">
        <v>OrganisationGroup</v>
      </c>
      <c r="L218" t="str">
        <v>E. Africa Standard Time</v>
      </c>
      <c r="M218">
        <v>0</v>
      </c>
    </row>
    <row r="219">
      <c r="A219" t="str">
        <v>A-1745349734229775958</v>
      </c>
      <c r="B219" t="str">
        <v>External</v>
      </c>
      <c r="C219" t="str">
        <v>Power Disconnect</v>
      </c>
      <c r="D219" t="str">
        <v>Power Disconnect</v>
      </c>
      <c r="E219" t="e">
        <f>VLOOKUP(C:C,Sheet1!A:A,1,0)</f>
        <v>#N/A</v>
      </c>
      <c r="I219" t="str">
        <v>A3522792081055458809</v>
      </c>
      <c r="J219" t="str">
        <v>LafargeHolcim - Kenya</v>
      </c>
      <c r="K219" t="str">
        <v>OrganisationGroup</v>
      </c>
      <c r="L219" t="str">
        <v>E. Africa Standard Time</v>
      </c>
      <c r="M219">
        <v>0</v>
      </c>
    </row>
    <row r="220">
      <c r="A220" t="str">
        <v>A2001831315598063183</v>
      </c>
      <c r="B220" t="str">
        <v>External</v>
      </c>
      <c r="C220" t="str">
        <v>Power Reconnect</v>
      </c>
      <c r="D220" t="str">
        <v>Power Reconnect</v>
      </c>
      <c r="E220" t="e">
        <f>VLOOKUP(C:C,Sheet1!A:A,1,0)</f>
        <v>#N/A</v>
      </c>
      <c r="I220" t="str">
        <v>A3522792081055458809</v>
      </c>
      <c r="J220" t="str">
        <v>LafargeHolcim - Kenya</v>
      </c>
      <c r="K220" t="str">
        <v>OrganisationGroup</v>
      </c>
      <c r="L220" t="str">
        <v>E. Africa Standard Time</v>
      </c>
      <c r="M220">
        <v>0</v>
      </c>
    </row>
    <row r="221">
      <c r="A221" t="str">
        <v>A2937187362208966035</v>
      </c>
      <c r="B221" t="str">
        <v>Diagnostic</v>
      </c>
      <c r="C221" t="str">
        <v>CAN speed/RPM loss detected</v>
      </c>
      <c r="D221" t="str">
        <v>CAN speed/RPM loss detected</v>
      </c>
      <c r="E221" t="e">
        <f>VLOOKUP(C:C,Sheet1!A:A,1,0)</f>
        <v>#N/A</v>
      </c>
      <c r="I221" t="str">
        <v>A3522792081055458809</v>
      </c>
      <c r="J221" t="str">
        <v>LafargeHolcim - Kenya</v>
      </c>
      <c r="K221" t="str">
        <v>OrganisationGroup</v>
      </c>
      <c r="L221" t="str">
        <v>E. Africa Standard Time</v>
      </c>
      <c r="M221">
        <v>0</v>
      </c>
    </row>
    <row r="222">
      <c r="A222" t="str">
        <v>A-7297492232153881177</v>
      </c>
      <c r="B222" t="str">
        <v>Default</v>
      </c>
      <c r="C222" t="str">
        <v>Driver Assist - Bluetooth Remote</v>
      </c>
      <c r="D222" t="str">
        <v>Driver Assist - Bluetooth Remote</v>
      </c>
      <c r="E222" t="e">
        <f>VLOOKUP(C:C,Sheet1!A:A,1,0)</f>
        <v>#N/A</v>
      </c>
      <c r="I222" t="str">
        <v>A3522792081055458809</v>
      </c>
      <c r="J222" t="str">
        <v>LafargeHolcim - Kenya</v>
      </c>
      <c r="K222" t="str">
        <v>OrganisationGroup</v>
      </c>
      <c r="L222" t="str">
        <v>E. Africa Standard Time</v>
      </c>
      <c r="M222">
        <v>0</v>
      </c>
    </row>
    <row r="223">
      <c r="A223" t="str">
        <v>A-4298158154586517219</v>
      </c>
      <c r="B223" t="str">
        <v>Diagnostic</v>
      </c>
      <c r="C223" t="str">
        <v>Low Battery - Bluetooth Remote</v>
      </c>
      <c r="D223" t="str">
        <v>Low Battery - Bluetooth Remote</v>
      </c>
      <c r="E223" t="e">
        <f>VLOOKUP(C:C,Sheet1!A:A,1,0)</f>
        <v>#N/A</v>
      </c>
      <c r="I223" t="str">
        <v>A3522792081055458809</v>
      </c>
      <c r="J223" t="str">
        <v>LafargeHolcim - Kenya</v>
      </c>
      <c r="K223" t="str">
        <v>OrganisationGroup</v>
      </c>
      <c r="L223" t="str">
        <v>E. Africa Standard Time</v>
      </c>
      <c r="M223">
        <v>0</v>
      </c>
    </row>
    <row r="224">
      <c r="A224" t="str">
        <v>A1896701076315097944</v>
      </c>
      <c r="B224" t="str">
        <v>Hidden</v>
      </c>
      <c r="C224" t="str">
        <v>Periodic SOC</v>
      </c>
      <c r="D224" t="str">
        <v>Periodic SOC</v>
      </c>
      <c r="E224" t="e">
        <f>VLOOKUP(C:C,Sheet1!A:A,1,0)</f>
        <v>#N/A</v>
      </c>
      <c r="F224" t="str">
        <v>EV CAN: State of charge</v>
      </c>
      <c r="G224" t="str">
        <v>Value</v>
      </c>
      <c r="H224" t="str">
        <v>%</v>
      </c>
      <c r="I224" t="str">
        <v>A3522792081055458809</v>
      </c>
      <c r="J224" t="str">
        <v>LafargeHolcim - Kenya</v>
      </c>
      <c r="K224" t="str">
        <v>OrganisationGroup</v>
      </c>
      <c r="L224" t="str">
        <v>E. Africa Standard Time</v>
      </c>
      <c r="M224">
        <v>0</v>
      </c>
    </row>
    <row r="225">
      <c r="A225" t="str">
        <v>A-6087879220239231094</v>
      </c>
      <c r="B225" t="str">
        <v>Hidden</v>
      </c>
      <c r="C225" t="str">
        <v>Charging status whilst out of trip</v>
      </c>
      <c r="D225" t="str">
        <v>Charging status whilst out of trip</v>
      </c>
      <c r="E225" t="e">
        <f>VLOOKUP(C:C,Sheet1!A:A,1,0)</f>
        <v>#N/A</v>
      </c>
      <c r="I225" t="str">
        <v>A3522792081055458809</v>
      </c>
      <c r="J225" t="str">
        <v>LafargeHolcim - Kenya</v>
      </c>
      <c r="K225" t="str">
        <v>OrganisationGroup</v>
      </c>
      <c r="L225" t="str">
        <v>E. Africa Standard Time</v>
      </c>
      <c r="M225">
        <v>0</v>
      </c>
    </row>
    <row r="226">
      <c r="A226" t="str">
        <v>A1062305132618114225</v>
      </c>
      <c r="B226" t="str">
        <v>Default</v>
      </c>
      <c r="C226" t="str">
        <v>Over speeding in location - EXCESSIVE DURATION</v>
      </c>
      <c r="D226" t="str">
        <v>Over speeding in location - EXCESSIVE DURATION</v>
      </c>
      <c r="E226" t="e">
        <f>VLOOKUP(C:C,Sheet1!A:A,1,0)</f>
        <v>#N/A</v>
      </c>
      <c r="F226" t="str">
        <v>At location</v>
      </c>
      <c r="G226" t="str">
        <v>Location</v>
      </c>
      <c r="I226" t="str">
        <v>A3522792081055458809</v>
      </c>
      <c r="J226" t="str">
        <v>LafargeHolcim - Kenya</v>
      </c>
      <c r="K226" t="str">
        <v>OrganisationGroup</v>
      </c>
      <c r="L226" t="str">
        <v>E. Africa Standard Time</v>
      </c>
      <c r="M226">
        <v>0</v>
      </c>
    </row>
    <row r="227">
      <c r="A227" t="str">
        <v>A-8136342741862439235</v>
      </c>
      <c r="B227" t="str">
        <v>Default</v>
      </c>
      <c r="C227" t="str">
        <v>Over speeding in location - EXCESSIVE SPEED</v>
      </c>
      <c r="D227" t="str">
        <v>Over speeding in location - EXCESSIVE SPEED</v>
      </c>
      <c r="E227" t="e">
        <f>VLOOKUP(C:C,Sheet1!A:A,1,0)</f>
        <v>#N/A</v>
      </c>
      <c r="F227" t="str">
        <v>At location</v>
      </c>
      <c r="G227" t="str">
        <v>Location</v>
      </c>
      <c r="I227" t="str">
        <v>A3522792081055458809</v>
      </c>
      <c r="J227" t="str">
        <v>LafargeHolcim - Kenya</v>
      </c>
      <c r="K227" t="str">
        <v>OrganisationGroup</v>
      </c>
      <c r="L227" t="str">
        <v>E. Africa Standard Time</v>
      </c>
      <c r="M227">
        <v>0</v>
      </c>
    </row>
    <row r="228">
      <c r="A228" t="str">
        <v>A4360614301289230131</v>
      </c>
      <c r="B228" t="str">
        <v>Default</v>
      </c>
      <c r="C228" t="str">
        <v>Over speeding in location</v>
      </c>
      <c r="D228" t="str">
        <v>Over speeding in location</v>
      </c>
      <c r="E228" t="str">
        <f>VLOOKUP(C:C,Sheet1!A:A,1,0)</f>
        <v>Over Speeding In Location</v>
      </c>
      <c r="F228" t="str">
        <v>Road speed</v>
      </c>
      <c r="G228" t="str">
        <v>Speed</v>
      </c>
      <c r="H228" t="str">
        <v>km/h</v>
      </c>
      <c r="I228" t="str">
        <v>A3522792081055458809</v>
      </c>
      <c r="J228" t="str">
        <v>LafargeHolcim - Kenya</v>
      </c>
      <c r="K228" t="str">
        <v>OrganisationGroup</v>
      </c>
      <c r="L228" t="str">
        <v>E. Africa Standard Time</v>
      </c>
      <c r="M228">
        <v>1</v>
      </c>
    </row>
    <row r="229">
      <c r="A229" t="str">
        <v>A-4596269900191457380</v>
      </c>
      <c r="B229" t="str">
        <v>Default</v>
      </c>
      <c r="C229" t="str">
        <v>Over speeding - TIERED</v>
      </c>
      <c r="D229" t="str">
        <v>Over speeding - TIERED</v>
      </c>
      <c r="E229" t="e">
        <f>VLOOKUP(C:C,Sheet1!A:A,1,0)</f>
        <v>#N/A</v>
      </c>
      <c r="F229" t="str">
        <v>Road speed</v>
      </c>
      <c r="G229" t="str">
        <v>Speed</v>
      </c>
      <c r="H229" t="str">
        <v>km/h</v>
      </c>
      <c r="I229" t="str">
        <v>A3522792081055458809</v>
      </c>
      <c r="J229" t="str">
        <v>LafargeHolcim - Kenya</v>
      </c>
      <c r="K229" t="str">
        <v>OrganisationGroup</v>
      </c>
      <c r="L229" t="str">
        <v>E. Africa Standard Time</v>
      </c>
      <c r="M229">
        <v>0</v>
      </c>
    </row>
    <row r="230">
      <c r="A230" t="str">
        <v>A-1009815199714528629</v>
      </c>
      <c r="B230" t="str">
        <v>Default</v>
      </c>
      <c r="C230" t="str">
        <v>In-cab road speed over speeding</v>
      </c>
      <c r="D230" t="str">
        <v>In-cab road speed over speeding</v>
      </c>
      <c r="E230" t="e">
        <f>VLOOKUP(C:C,Sheet1!A:A,1,0)</f>
        <v>#N/A</v>
      </c>
      <c r="F230" t="str">
        <v>Road speed</v>
      </c>
      <c r="G230" t="str">
        <v>Speed</v>
      </c>
      <c r="H230" t="str">
        <v>km/h</v>
      </c>
      <c r="I230" t="str">
        <v>A3522792081055458809</v>
      </c>
      <c r="J230" t="str">
        <v>LafargeHolcim - Kenya</v>
      </c>
      <c r="K230" t="str">
        <v>OrganisationGroup</v>
      </c>
      <c r="L230" t="str">
        <v>E. Africa Standard Time</v>
      </c>
      <c r="M230">
        <v>0</v>
      </c>
    </row>
    <row r="231">
      <c r="A231" t="str">
        <v>A-2296465401251079776</v>
      </c>
      <c r="B231" t="str">
        <v>Default</v>
      </c>
      <c r="C231" t="str">
        <v>In-cab road speed over speeding - EXCESSIVE DURATION</v>
      </c>
      <c r="D231" t="str">
        <v>In-cab road speed over speeding - EXCESSIVE DURATION</v>
      </c>
      <c r="E231" t="e">
        <f>VLOOKUP(C:C,Sheet1!A:A,1,0)</f>
        <v>#N/A</v>
      </c>
      <c r="F231" t="str">
        <v>Speed monitoring - Over speeding value</v>
      </c>
      <c r="G231" t="str">
        <v>Speed</v>
      </c>
      <c r="H231" t="str">
        <v>km/h</v>
      </c>
      <c r="I231" t="str">
        <v>A3522792081055458809</v>
      </c>
      <c r="J231" t="str">
        <v>LafargeHolcim - Kenya</v>
      </c>
      <c r="K231" t="str">
        <v>OrganisationGroup</v>
      </c>
      <c r="L231" t="str">
        <v>E. Africa Standard Time</v>
      </c>
      <c r="M231">
        <v>0</v>
      </c>
    </row>
    <row r="232">
      <c r="A232" t="str">
        <v>A4817078994107181378</v>
      </c>
      <c r="B232" t="str">
        <v>Default</v>
      </c>
      <c r="C232" t="str">
        <v>In-cab road speed over speeding - EXCESSIVE SPEED</v>
      </c>
      <c r="D232" t="str">
        <v>In-cab road speed over speeding - EXCESSIVE SPEED</v>
      </c>
      <c r="E232" t="e">
        <f>VLOOKUP(C:C,Sheet1!A:A,1,0)</f>
        <v>#N/A</v>
      </c>
      <c r="F232" t="str">
        <v>Speed monitoring - Over speeding value</v>
      </c>
      <c r="G232" t="str">
        <v>Speed</v>
      </c>
      <c r="H232" t="str">
        <v>km/h</v>
      </c>
      <c r="I232" t="str">
        <v>A3522792081055458809</v>
      </c>
      <c r="J232" t="str">
        <v>LafargeHolcim - Kenya</v>
      </c>
      <c r="K232" t="str">
        <v>OrganisationGroup</v>
      </c>
      <c r="L232" t="str">
        <v>E. Africa Standard Time</v>
      </c>
      <c r="M232">
        <v>0</v>
      </c>
    </row>
    <row r="233">
      <c r="A233" t="str">
        <v>A5824824571655454188</v>
      </c>
      <c r="B233" t="str">
        <v>Diagnostic</v>
      </c>
      <c r="C233" t="str">
        <v>Diagnostic: Bat Fault: UnableToAddCharge</v>
      </c>
      <c r="D233" t="str">
        <v>Diagnostic: Bat Fault: UnableToAddCharge</v>
      </c>
      <c r="E233" t="e">
        <f>VLOOKUP(C:C,Sheet1!A:A,1,0)</f>
        <v>#N/A</v>
      </c>
      <c r="F233" t="str">
        <v>Internal Battery backup voltage</v>
      </c>
      <c r="G233" t="str">
        <v>Value</v>
      </c>
      <c r="H233" t="str">
        <v>V</v>
      </c>
      <c r="I233" t="str">
        <v>A3522792081055458809</v>
      </c>
      <c r="J233" t="str">
        <v>LafargeHolcim - Kenya</v>
      </c>
      <c r="K233" t="str">
        <v>OrganisationGroup</v>
      </c>
      <c r="L233" t="str">
        <v>E. Africa Standard Time</v>
      </c>
      <c r="M233">
        <v>0</v>
      </c>
    </row>
    <row r="234">
      <c r="A234" t="str">
        <v>A-3302394871680623930</v>
      </c>
      <c r="B234" t="str">
        <v>Diagnostic</v>
      </c>
      <c r="C234" t="str">
        <v>Diagnostic: Bat Fault: RippleVoltage</v>
      </c>
      <c r="D234" t="str">
        <v>Diagnostic: Bat Fault: RippleVoltage</v>
      </c>
      <c r="E234" t="e">
        <f>VLOOKUP(C:C,Sheet1!A:A,1,0)</f>
        <v>#N/A</v>
      </c>
      <c r="F234" t="str">
        <v>Internal Battery ripple voltage</v>
      </c>
      <c r="G234" t="str">
        <v>Value</v>
      </c>
      <c r="H234" t="str">
        <v>V</v>
      </c>
      <c r="I234" t="str">
        <v>A3522792081055458809</v>
      </c>
      <c r="J234" t="str">
        <v>LafargeHolcim - Kenya</v>
      </c>
      <c r="K234" t="str">
        <v>OrganisationGroup</v>
      </c>
      <c r="L234" t="str">
        <v>E. Africa Standard Time</v>
      </c>
      <c r="M234">
        <v>0</v>
      </c>
    </row>
    <row r="235">
      <c r="A235" t="str">
        <v>A1566525044567808847</v>
      </c>
      <c r="B235" t="str">
        <v>Default</v>
      </c>
      <c r="C235" t="str">
        <v>Calculate soft clock value when before the time change date</v>
      </c>
      <c r="D235" t="str">
        <v>Calculate soft clock value when before the time change date</v>
      </c>
      <c r="E235" t="e">
        <f>VLOOKUP(C:C,Sheet1!A:A,1,0)</f>
        <v>#N/A</v>
      </c>
      <c r="I235" t="str">
        <v>A3522792081055458809</v>
      </c>
      <c r="J235" t="str">
        <v>LafargeHolcim - Kenya</v>
      </c>
      <c r="K235" t="str">
        <v>OrganisationGroup</v>
      </c>
      <c r="L235" t="str">
        <v>E. Africa Standard Time</v>
      </c>
      <c r="M235">
        <v>0</v>
      </c>
    </row>
    <row r="236">
      <c r="A236" t="str">
        <v>A3178206198625947592</v>
      </c>
      <c r="B236" t="str">
        <v>Default</v>
      </c>
      <c r="C236" t="str">
        <v>Calculate soft clock value when after the time change date</v>
      </c>
      <c r="D236" t="str">
        <v>Calculate soft clock value when after the time change date</v>
      </c>
      <c r="E236" t="e">
        <f>VLOOKUP(C:C,Sheet1!A:A,1,0)</f>
        <v>#N/A</v>
      </c>
      <c r="I236" t="str">
        <v>A3522792081055458809</v>
      </c>
      <c r="J236" t="str">
        <v>LafargeHolcim - Kenya</v>
      </c>
      <c r="K236" t="str">
        <v>OrganisationGroup</v>
      </c>
      <c r="L236" t="str">
        <v>E. Africa Standard Time</v>
      </c>
      <c r="M236">
        <v>0</v>
      </c>
    </row>
    <row r="237">
      <c r="A237" t="str">
        <v>A2590837228958580073</v>
      </c>
      <c r="B237" t="str">
        <v>Default</v>
      </c>
      <c r="C237" t="str">
        <v>Calculate soft clock current date time using calculated time</v>
      </c>
      <c r="D237" t="str">
        <v>Calculate soft clock current date time using calculated time</v>
      </c>
      <c r="E237" t="e">
        <f>VLOOKUP(C:C,Sheet1!A:A,1,0)</f>
        <v>#N/A</v>
      </c>
      <c r="I237" t="str">
        <v>A3522792081055458809</v>
      </c>
      <c r="J237" t="str">
        <v>LafargeHolcim - Kenya</v>
      </c>
      <c r="K237" t="str">
        <v>OrganisationGroup</v>
      </c>
      <c r="L237" t="str">
        <v>E. Africa Standard Time</v>
      </c>
      <c r="M237">
        <v>0</v>
      </c>
    </row>
    <row r="238">
      <c r="A238" t="str">
        <v>A3954175762578748126</v>
      </c>
      <c r="B238" t="str">
        <v>Default</v>
      </c>
      <c r="C238" t="str">
        <v>Store new values for time deviation calculation</v>
      </c>
      <c r="D238" t="str">
        <v>Store new values for time deviation calculation</v>
      </c>
      <c r="E238" t="e">
        <f>VLOOKUP(C:C,Sheet1!A:A,1,0)</f>
        <v>#N/A</v>
      </c>
      <c r="I238" t="str">
        <v>A3522792081055458809</v>
      </c>
      <c r="J238" t="str">
        <v>LafargeHolcim - Kenya</v>
      </c>
      <c r="K238" t="str">
        <v>OrganisationGroup</v>
      </c>
      <c r="L238" t="str">
        <v>E. Africa Standard Time</v>
      </c>
      <c r="M238">
        <v>0</v>
      </c>
    </row>
    <row r="239">
      <c r="A239" t="str">
        <v>A-195021832516758230</v>
      </c>
      <c r="B239" t="str">
        <v>Default</v>
      </c>
      <c r="C239" t="str">
        <v>Firmware error</v>
      </c>
      <c r="D239" t="str">
        <v>Firmware error</v>
      </c>
      <c r="E239" t="e">
        <f>VLOOKUP(C:C,Sheet1!A:A,1,0)</f>
        <v>#N/A</v>
      </c>
      <c r="I239" t="str">
        <v>A3522792081055458809</v>
      </c>
      <c r="J239" t="str">
        <v>LafargeHolcim - Kenya</v>
      </c>
      <c r="K239" t="str">
        <v>OrganisationGroup</v>
      </c>
      <c r="L239" t="str">
        <v>E. Africa Standard Time</v>
      </c>
      <c r="M239">
        <v>0</v>
      </c>
    </row>
    <row r="240">
      <c r="A240" t="str">
        <v>A-8588945320609074370</v>
      </c>
      <c r="B240" t="str">
        <v>Default</v>
      </c>
      <c r="C240" t="str">
        <v>Firmware info</v>
      </c>
      <c r="D240" t="str">
        <v>Firmware info</v>
      </c>
      <c r="E240" t="e">
        <f>VLOOKUP(C:C,Sheet1!A:A,1,0)</f>
        <v>#N/A</v>
      </c>
      <c r="I240" t="str">
        <v>A3522792081055458809</v>
      </c>
      <c r="J240" t="str">
        <v>LafargeHolcim - Kenya</v>
      </c>
      <c r="K240" t="str">
        <v>OrganisationGroup</v>
      </c>
      <c r="L240" t="str">
        <v>E. Africa Standard Time</v>
      </c>
      <c r="M240">
        <v>0</v>
      </c>
    </row>
    <row r="241">
      <c r="A241" t="str">
        <v>A-2998837133460910260</v>
      </c>
      <c r="B241" t="str">
        <v>Default</v>
      </c>
      <c r="C241" t="str">
        <v>Firmware version changed</v>
      </c>
      <c r="D241" t="str">
        <v>Firmware version changed</v>
      </c>
      <c r="E241" t="e">
        <f>VLOOKUP(C:C,Sheet1!A:A,1,0)</f>
        <v>#N/A</v>
      </c>
      <c r="I241" t="str">
        <v>A3522792081055458809</v>
      </c>
      <c r="J241" t="str">
        <v>LafargeHolcim - Kenya</v>
      </c>
      <c r="K241" t="str">
        <v>OrganisationGroup</v>
      </c>
      <c r="L241" t="str">
        <v>E. Africa Standard Time</v>
      </c>
      <c r="M241">
        <v>0</v>
      </c>
    </row>
    <row r="242">
      <c r="A242" t="str">
        <v>A-2971750131261417491</v>
      </c>
      <c r="B242" t="str">
        <v>Default</v>
      </c>
      <c r="C242" t="str">
        <v>Configuration version changed</v>
      </c>
      <c r="D242" t="str">
        <v>Configuration version changed</v>
      </c>
      <c r="E242" t="e">
        <f>VLOOKUP(C:C,Sheet1!A:A,1,0)</f>
        <v>#N/A</v>
      </c>
      <c r="I242" t="str">
        <v>A3522792081055458809</v>
      </c>
      <c r="J242" t="str">
        <v>LafargeHolcim - Kenya</v>
      </c>
      <c r="K242" t="str">
        <v>OrganisationGroup</v>
      </c>
      <c r="L242" t="str">
        <v>E. Africa Standard Time</v>
      </c>
      <c r="M242">
        <v>0</v>
      </c>
    </row>
    <row r="243">
      <c r="A243" t="str">
        <v>A-8156819268807087992</v>
      </c>
      <c r="B243" t="str">
        <v>Default</v>
      </c>
      <c r="C243" t="str">
        <v>Settings version changed</v>
      </c>
      <c r="D243" t="str">
        <v>Settings version changed</v>
      </c>
      <c r="E243" t="e">
        <f>VLOOKUP(C:C,Sheet1!A:A,1,0)</f>
        <v>#N/A</v>
      </c>
      <c r="I243" t="str">
        <v>A3522792081055458809</v>
      </c>
      <c r="J243" t="str">
        <v>LafargeHolcim - Kenya</v>
      </c>
      <c r="K243" t="str">
        <v>OrganisationGroup</v>
      </c>
      <c r="L243" t="str">
        <v>E. Africa Standard Time</v>
      </c>
      <c r="M243">
        <v>0</v>
      </c>
    </row>
    <row r="244">
      <c r="A244" t="str">
        <v>A5742604598548247598</v>
      </c>
      <c r="B244" t="str">
        <v>Diagnostic</v>
      </c>
      <c r="C244" t="str">
        <v>CAN loss detected</v>
      </c>
      <c r="D244" t="str">
        <v>CAN loss detected</v>
      </c>
      <c r="E244" t="e">
        <f>VLOOKUP(C:C,Sheet1!A:A,1,0)</f>
        <v>#N/A</v>
      </c>
      <c r="I244" t="str">
        <v>A3522792081055458809</v>
      </c>
      <c r="J244" t="str">
        <v>LafargeHolcim - Kenya</v>
      </c>
      <c r="K244" t="str">
        <v>OrganisationGroup</v>
      </c>
      <c r="L244" t="str">
        <v>E. Africa Standard Time</v>
      </c>
      <c r="M244">
        <v>0</v>
      </c>
    </row>
    <row r="245">
      <c r="A245" t="str">
        <v>A-2933349547593247708</v>
      </c>
      <c r="B245" t="str">
        <v>Diagnostic</v>
      </c>
      <c r="C245" t="str">
        <v>Diagnostic: CAN Scan</v>
      </c>
      <c r="D245" t="str">
        <v>Diagnostic: CAN Scan</v>
      </c>
      <c r="E245" t="e">
        <f>VLOOKUP(C:C,Sheet1!A:A,1,0)</f>
        <v>#N/A</v>
      </c>
      <c r="I245" t="str">
        <v>A3522792081055458809</v>
      </c>
      <c r="J245" t="str">
        <v>LafargeHolcim - Kenya</v>
      </c>
      <c r="K245" t="str">
        <v>OrganisationGroup</v>
      </c>
      <c r="L245" t="str">
        <v>E. Africa Standard Time</v>
      </c>
      <c r="M245">
        <v>0</v>
      </c>
    </row>
    <row r="246">
      <c r="A246" t="str">
        <v>A8762220870379150868</v>
      </c>
      <c r="B246" t="str">
        <v>Default</v>
      </c>
      <c r="C246" t="str">
        <v>Configuration accepted</v>
      </c>
      <c r="D246" t="str">
        <v>Configuration accepted</v>
      </c>
      <c r="E246" t="e">
        <f>VLOOKUP(C:C,Sheet1!A:A,1,0)</f>
        <v>#N/A</v>
      </c>
      <c r="F246" t="str">
        <v>Version of configuration that was accepted</v>
      </c>
      <c r="G246" t="str">
        <v>Integer</v>
      </c>
      <c r="I246" t="str">
        <v>A3522792081055458809</v>
      </c>
      <c r="J246" t="str">
        <v>LafargeHolcim - Kenya</v>
      </c>
      <c r="K246" t="str">
        <v>OrganisationGroup</v>
      </c>
      <c r="L246" t="str">
        <v>E. Africa Standard Time</v>
      </c>
      <c r="M246">
        <v>0</v>
      </c>
    </row>
    <row r="247">
      <c r="A247" t="str">
        <v>A3762264000645059186</v>
      </c>
      <c r="B247" t="str">
        <v>Hidden</v>
      </c>
      <c r="C247" t="str">
        <v>Configuration confirmed</v>
      </c>
      <c r="D247" t="str">
        <v>Configuration confirmed</v>
      </c>
      <c r="E247" t="e">
        <f>VLOOKUP(C:C,Sheet1!A:A,1,0)</f>
        <v>#N/A</v>
      </c>
      <c r="F247" t="str">
        <v>Version of configuration that was accepted</v>
      </c>
      <c r="G247" t="str">
        <v>Integer</v>
      </c>
      <c r="I247" t="str">
        <v>A3522792081055458809</v>
      </c>
      <c r="J247" t="str">
        <v>LafargeHolcim - Kenya</v>
      </c>
      <c r="K247" t="str">
        <v>OrganisationGroup</v>
      </c>
      <c r="L247" t="str">
        <v>E. Africa Standard Time</v>
      </c>
      <c r="M247">
        <v>0</v>
      </c>
    </row>
    <row r="248">
      <c r="A248" t="str">
        <v>A-7233932887255203318</v>
      </c>
      <c r="B248" t="str">
        <v>Default</v>
      </c>
      <c r="C248" t="str">
        <v>GSM supervision rollover detected</v>
      </c>
      <c r="D248" t="str">
        <v>GSM supervision rollover detected</v>
      </c>
      <c r="E248" t="e">
        <f>VLOOKUP(C:C,Sheet1!A:A,1,0)</f>
        <v>#N/A</v>
      </c>
      <c r="I248" t="str">
        <v>A3522792081055458809</v>
      </c>
      <c r="J248" t="str">
        <v>LafargeHolcim - Kenya</v>
      </c>
      <c r="K248" t="str">
        <v>OrganisationGroup</v>
      </c>
      <c r="L248" t="str">
        <v>E. Africa Standard Time</v>
      </c>
      <c r="M248">
        <v>0</v>
      </c>
    </row>
    <row r="249">
      <c r="A249" t="str">
        <v>A-2864371101042705250</v>
      </c>
      <c r="B249" t="str">
        <v>Default</v>
      </c>
      <c r="C249" t="str">
        <v>Road Speed Overspeeding</v>
      </c>
      <c r="D249" t="str">
        <v>Road Speed Overspeeding</v>
      </c>
      <c r="E249" t="e">
        <f>VLOOKUP(C:C,Sheet1!A:A,1,0)</f>
        <v>#N/A</v>
      </c>
      <c r="F249" t="str">
        <v>Road speed</v>
      </c>
      <c r="G249" t="str">
        <v>Speed</v>
      </c>
      <c r="H249" t="str">
        <v>km/h</v>
      </c>
      <c r="I249" t="str">
        <v>A3522792081055458809</v>
      </c>
      <c r="J249" t="str">
        <v>LafargeHolcim - Kenya</v>
      </c>
      <c r="K249" t="str">
        <v>OrganisationGroup</v>
      </c>
      <c r="L249" t="str">
        <v>E. Africa Standard Time</v>
      </c>
      <c r="M249">
        <v>0</v>
      </c>
    </row>
    <row r="250">
      <c r="A250" t="str">
        <v>A8242796377286834188</v>
      </c>
      <c r="B250" t="str">
        <v>Default</v>
      </c>
      <c r="C250" t="str">
        <v>* Ignition On</v>
      </c>
      <c r="D250" t="str">
        <v>* Ignition On</v>
      </c>
      <c r="E250" t="e">
        <f>VLOOKUP(C:C,Sheet1!A:A,1,0)</f>
        <v>#N/A</v>
      </c>
      <c r="I250" t="str">
        <v>A3522792081055458809</v>
      </c>
      <c r="J250" t="str">
        <v>LafargeHolcim - Kenya</v>
      </c>
      <c r="K250" t="str">
        <v>OrganisationGroup</v>
      </c>
      <c r="L250" t="str">
        <v>E. Africa Standard Time</v>
      </c>
      <c r="M250">
        <v>0</v>
      </c>
    </row>
    <row r="251">
      <c r="A251" t="str">
        <v>A-4950190839529718443</v>
      </c>
      <c r="B251" t="str">
        <v>Default</v>
      </c>
      <c r="C251" t="str">
        <v>* Ignition Off</v>
      </c>
      <c r="D251" t="str">
        <v>* Ignition Off</v>
      </c>
      <c r="E251" t="e">
        <f>VLOOKUP(C:C,Sheet1!A:A,1,0)</f>
        <v>#N/A</v>
      </c>
      <c r="I251" t="str">
        <v>A3522792081055458809</v>
      </c>
      <c r="J251" t="str">
        <v>LafargeHolcim - Kenya</v>
      </c>
      <c r="K251" t="str">
        <v>OrganisationGroup</v>
      </c>
      <c r="L251" t="str">
        <v>E. Africa Standard Time</v>
      </c>
      <c r="M251">
        <v>0</v>
      </c>
    </row>
    <row r="252">
      <c r="A252" t="str">
        <v>A2841595138250378900</v>
      </c>
      <c r="B252" t="str">
        <v>Default</v>
      </c>
      <c r="C252" t="str">
        <v>* Power Disconnected</v>
      </c>
      <c r="D252" t="str">
        <v>* Power Disconnected</v>
      </c>
      <c r="E252" t="e">
        <f>VLOOKUP(C:C,Sheet1!A:A,1,0)</f>
        <v>#N/A</v>
      </c>
      <c r="I252" t="str">
        <v>A3522792081055458809</v>
      </c>
      <c r="J252" t="str">
        <v>LafargeHolcim - Kenya</v>
      </c>
      <c r="K252" t="str">
        <v>OrganisationGroup</v>
      </c>
      <c r="L252" t="str">
        <v>E. Africa Standard Time</v>
      </c>
      <c r="M252">
        <v>0</v>
      </c>
    </row>
    <row r="253">
      <c r="A253" t="str">
        <v>A7042125390146036684</v>
      </c>
      <c r="B253" t="str">
        <v>Default</v>
      </c>
      <c r="C253" t="str">
        <v>* Power Reconnected</v>
      </c>
      <c r="D253" t="str">
        <v>* Power Reconnected</v>
      </c>
      <c r="E253" t="e">
        <f>VLOOKUP(C:C,Sheet1!A:A,1,0)</f>
        <v>#N/A</v>
      </c>
      <c r="I253" t="str">
        <v>A3522792081055458809</v>
      </c>
      <c r="J253" t="str">
        <v>LafargeHolcim - Kenya</v>
      </c>
      <c r="K253" t="str">
        <v>OrganisationGroup</v>
      </c>
      <c r="L253" t="str">
        <v>E. Africa Standard Time</v>
      </c>
      <c r="M253">
        <v>0</v>
      </c>
    </row>
    <row r="254">
      <c r="A254" t="str">
        <v>A-1108723664337353906</v>
      </c>
      <c r="B254" t="str">
        <v>Default</v>
      </c>
      <c r="C254" t="str">
        <v>* Low Battery</v>
      </c>
      <c r="D254" t="str">
        <v>* Low Battery</v>
      </c>
      <c r="E254" t="e">
        <f>VLOOKUP(C:C,Sheet1!A:A,1,0)</f>
        <v>#N/A</v>
      </c>
      <c r="F254" t="str">
        <v>Battery voltage</v>
      </c>
      <c r="G254" t="str">
        <v>Value</v>
      </c>
      <c r="H254" t="str">
        <v>mV</v>
      </c>
      <c r="I254" t="str">
        <v>A3522792081055458809</v>
      </c>
      <c r="J254" t="str">
        <v>LafargeHolcim - Kenya</v>
      </c>
      <c r="K254" t="str">
        <v>OrganisationGroup</v>
      </c>
      <c r="L254" t="str">
        <v>E. Africa Standard Time</v>
      </c>
      <c r="M254">
        <v>0</v>
      </c>
    </row>
    <row r="255">
      <c r="A255" t="str">
        <v>A-1912032722388075087</v>
      </c>
      <c r="B255" t="str">
        <v>Default</v>
      </c>
      <c r="C255" t="str">
        <v>* Low Internal Battery</v>
      </c>
      <c r="D255" t="str">
        <v>* Low Internal Battery</v>
      </c>
      <c r="E255" t="e">
        <f>VLOOKUP(C:C,Sheet1!A:A,1,0)</f>
        <v>#N/A</v>
      </c>
      <c r="F255" t="str">
        <v>Battery voltage</v>
      </c>
      <c r="G255" t="str">
        <v>Value</v>
      </c>
      <c r="H255" t="str">
        <v>mV</v>
      </c>
      <c r="I255" t="str">
        <v>A3522792081055458809</v>
      </c>
      <c r="J255" t="str">
        <v>LafargeHolcim - Kenya</v>
      </c>
      <c r="K255" t="str">
        <v>OrganisationGroup</v>
      </c>
      <c r="L255" t="str">
        <v>E. Africa Standard Time</v>
      </c>
      <c r="M255">
        <v>0</v>
      </c>
    </row>
    <row r="256">
      <c r="A256" t="str">
        <v>A-1374044786876978699</v>
      </c>
      <c r="B256" t="str">
        <v>Default</v>
      </c>
      <c r="C256" t="str">
        <v>* Diagnostic: Vehicle Battery Voltage</v>
      </c>
      <c r="D256" t="str">
        <v>* Diagnostic: Vehicle Battery Voltage</v>
      </c>
      <c r="E256" t="e">
        <f>VLOOKUP(C:C,Sheet1!A:A,1,0)</f>
        <v>#N/A</v>
      </c>
      <c r="F256" t="str">
        <v>Battery voltage</v>
      </c>
      <c r="G256" t="str">
        <v>Value</v>
      </c>
      <c r="H256" t="str">
        <v>mV</v>
      </c>
      <c r="I256" t="str">
        <v>A3522792081055458809</v>
      </c>
      <c r="J256" t="str">
        <v>LafargeHolcim - Kenya</v>
      </c>
      <c r="K256" t="str">
        <v>OrganisationGroup</v>
      </c>
      <c r="L256" t="str">
        <v>E. Africa Standard Time</v>
      </c>
      <c r="M256">
        <v>0</v>
      </c>
    </row>
    <row r="257">
      <c r="A257" t="str">
        <v>A4986166086357392308</v>
      </c>
      <c r="B257" t="str">
        <v>Default</v>
      </c>
      <c r="C257" t="str">
        <v>* Diagnostic: Internal Battery Voltage</v>
      </c>
      <c r="D257" t="str">
        <v>* Diagnostic: Internal Battery Voltage</v>
      </c>
      <c r="E257" t="e">
        <f>VLOOKUP(C:C,Sheet1!A:A,1,0)</f>
        <v>#N/A</v>
      </c>
      <c r="F257" t="str">
        <v>Battery voltage</v>
      </c>
      <c r="G257" t="str">
        <v>Value</v>
      </c>
      <c r="H257" t="str">
        <v>mV</v>
      </c>
      <c r="I257" t="str">
        <v>A3522792081055458809</v>
      </c>
      <c r="J257" t="str">
        <v>LafargeHolcim - Kenya</v>
      </c>
      <c r="K257" t="str">
        <v>OrganisationGroup</v>
      </c>
      <c r="L257" t="str">
        <v>E. Africa Standard Time</v>
      </c>
      <c r="M257">
        <v>0</v>
      </c>
    </row>
    <row r="258">
      <c r="A258" t="str">
        <v>A3762751375169841313</v>
      </c>
      <c r="B258" t="str">
        <v>Default</v>
      </c>
      <c r="C258" t="str">
        <v>* Diagnostic: Internal Battery Capacity</v>
      </c>
      <c r="D258" t="str">
        <v>* Diagnostic: Internal Battery Capacity</v>
      </c>
      <c r="E258" t="e">
        <f>VLOOKUP(C:C,Sheet1!A:A,1,0)</f>
        <v>#N/A</v>
      </c>
      <c r="I258" t="str">
        <v>A3522792081055458809</v>
      </c>
      <c r="J258" t="str">
        <v>LafargeHolcim - Kenya</v>
      </c>
      <c r="K258" t="str">
        <v>OrganisationGroup</v>
      </c>
      <c r="L258" t="str">
        <v>E. Africa Standard Time</v>
      </c>
      <c r="M258">
        <v>0</v>
      </c>
    </row>
    <row r="259">
      <c r="A259" t="str">
        <v>A-8090199106001736009</v>
      </c>
      <c r="B259" t="str">
        <v>Default</v>
      </c>
      <c r="C259" t="str">
        <v>* Low Remote Control Battery</v>
      </c>
      <c r="D259" t="str">
        <v>* Low Remote Control Battery</v>
      </c>
      <c r="E259" t="e">
        <f>VLOOKUP(C:C,Sheet1!A:A,1,0)</f>
        <v>#N/A</v>
      </c>
      <c r="I259" t="str">
        <v>A3522792081055458809</v>
      </c>
      <c r="J259" t="str">
        <v>LafargeHolcim - Kenya</v>
      </c>
      <c r="K259" t="str">
        <v>OrganisationGroup</v>
      </c>
      <c r="L259" t="str">
        <v>E. Africa Standard Time</v>
      </c>
      <c r="M259">
        <v>0</v>
      </c>
    </row>
    <row r="260">
      <c r="A260" t="str">
        <v>A4291175374538259638</v>
      </c>
      <c r="B260" t="str">
        <v>System</v>
      </c>
      <c r="C260" t="str">
        <v>* Harsh Cornering</v>
      </c>
      <c r="D260" t="str">
        <v>* Harsh Cornering</v>
      </c>
      <c r="E260" t="e">
        <f>VLOOKUP(C:C,Sheet1!A:A,1,0)</f>
        <v>#N/A</v>
      </c>
      <c r="F260" t="str">
        <v>Track trace cornering threshold</v>
      </c>
      <c r="G260" t="str">
        <v>Integer</v>
      </c>
      <c r="H260" t="str">
        <v>mg</v>
      </c>
      <c r="I260" t="str">
        <v>A3522792081055458809</v>
      </c>
      <c r="J260" t="str">
        <v>LafargeHolcim - Kenya</v>
      </c>
      <c r="K260" t="str">
        <v>OrganisationGroup</v>
      </c>
      <c r="L260" t="str">
        <v>E. Africa Standard Time</v>
      </c>
      <c r="M260">
        <v>0</v>
      </c>
    </row>
    <row r="261">
      <c r="A261" t="str">
        <v>A-2428296493372883300</v>
      </c>
      <c r="B261" t="str">
        <v>System</v>
      </c>
      <c r="C261" t="str">
        <v>* Impact Detect Severe</v>
      </c>
      <c r="D261" t="str">
        <v>* Impact Detect Severe</v>
      </c>
      <c r="E261" t="e">
        <f>VLOOKUP(C:C,Sheet1!A:A,1,0)</f>
        <v>#N/A</v>
      </c>
      <c r="F261" t="str">
        <v>Severe impact sensitivity</v>
      </c>
      <c r="G261" t="str">
        <v>Integer</v>
      </c>
      <c r="I261" t="str">
        <v>A3522792081055458809</v>
      </c>
      <c r="J261" t="str">
        <v>LafargeHolcim - Kenya</v>
      </c>
      <c r="K261" t="str">
        <v>OrganisationGroup</v>
      </c>
      <c r="L261" t="str">
        <v>E. Africa Standard Time</v>
      </c>
      <c r="M261">
        <v>0</v>
      </c>
    </row>
    <row r="262">
      <c r="A262" t="str">
        <v>A-4165427743275052977</v>
      </c>
      <c r="B262" t="str">
        <v>System</v>
      </c>
      <c r="C262" t="str">
        <v>* Impact Detect Moderate</v>
      </c>
      <c r="D262" t="str">
        <v>* Impact Detect Moderate</v>
      </c>
      <c r="E262" t="e">
        <f>VLOOKUP(C:C,Sheet1!A:A,1,0)</f>
        <v>#N/A</v>
      </c>
      <c r="F262" t="str">
        <v>Moderate impact sensitivity</v>
      </c>
      <c r="G262" t="str">
        <v>Integer</v>
      </c>
      <c r="I262" t="str">
        <v>A3522792081055458809</v>
      </c>
      <c r="J262" t="str">
        <v>LafargeHolcim - Kenya</v>
      </c>
      <c r="K262" t="str">
        <v>OrganisationGroup</v>
      </c>
      <c r="L262" t="str">
        <v>E. Africa Standard Time</v>
      </c>
      <c r="M262">
        <v>0</v>
      </c>
    </row>
    <row r="263">
      <c r="A263" t="str">
        <v>A-5187123885301764144</v>
      </c>
      <c r="B263" t="str">
        <v>Default</v>
      </c>
      <c r="C263" t="str">
        <v>* Panic Alert</v>
      </c>
      <c r="D263" t="str">
        <v>* Panic Alert</v>
      </c>
      <c r="E263" t="e">
        <f>VLOOKUP(C:C,Sheet1!A:A,1,0)</f>
        <v>#N/A</v>
      </c>
      <c r="I263" t="str">
        <v>A3522792081055458809</v>
      </c>
      <c r="J263" t="str">
        <v>LafargeHolcim - Kenya</v>
      </c>
      <c r="K263" t="str">
        <v>OrganisationGroup</v>
      </c>
      <c r="L263" t="str">
        <v>E. Africa Standard Time</v>
      </c>
      <c r="M263">
        <v>0</v>
      </c>
    </row>
    <row r="264">
      <c r="A264" t="str">
        <v>A-1935587791656193246</v>
      </c>
      <c r="B264" t="str">
        <v>Default</v>
      </c>
      <c r="C264" t="str">
        <v>* Assistance Request</v>
      </c>
      <c r="D264" t="str">
        <v>* Assistance Request</v>
      </c>
      <c r="E264" t="e">
        <f>VLOOKUP(C:C,Sheet1!A:A,1,0)</f>
        <v>#N/A</v>
      </c>
      <c r="I264" t="str">
        <v>A3522792081055458809</v>
      </c>
      <c r="J264" t="str">
        <v>LafargeHolcim - Kenya</v>
      </c>
      <c r="K264" t="str">
        <v>OrganisationGroup</v>
      </c>
      <c r="L264" t="str">
        <v>E. Africa Standard Time</v>
      </c>
      <c r="M264">
        <v>0</v>
      </c>
    </row>
    <row r="265">
      <c r="A265" t="str">
        <v>A5857752512862302519</v>
      </c>
      <c r="B265" t="str">
        <v>System</v>
      </c>
      <c r="C265" t="str">
        <v>* Input 1 High</v>
      </c>
      <c r="D265" t="str">
        <v>* Input 1 High</v>
      </c>
      <c r="E265" t="e">
        <f>VLOOKUP(C:C,Sheet1!A:A,1,0)</f>
        <v>#N/A</v>
      </c>
      <c r="I265" t="str">
        <v>A3522792081055458809</v>
      </c>
      <c r="J265" t="str">
        <v>LafargeHolcim - Kenya</v>
      </c>
      <c r="K265" t="str">
        <v>OrganisationGroup</v>
      </c>
      <c r="L265" t="str">
        <v>E. Africa Standard Time</v>
      </c>
      <c r="M265">
        <v>0</v>
      </c>
    </row>
    <row r="266">
      <c r="A266" t="str">
        <v>A-382584128531125486</v>
      </c>
      <c r="B266" t="str">
        <v>System</v>
      </c>
      <c r="C266" t="str">
        <v>* Input 1 Low</v>
      </c>
      <c r="D266" t="str">
        <v>* Input 1 Low</v>
      </c>
      <c r="E266" t="e">
        <f>VLOOKUP(C:C,Sheet1!A:A,1,0)</f>
        <v>#N/A</v>
      </c>
      <c r="I266" t="str">
        <v>A3522792081055458809</v>
      </c>
      <c r="J266" t="str">
        <v>LafargeHolcim - Kenya</v>
      </c>
      <c r="K266" t="str">
        <v>OrganisationGroup</v>
      </c>
      <c r="L266" t="str">
        <v>E. Africa Standard Time</v>
      </c>
      <c r="M266">
        <v>0</v>
      </c>
    </row>
    <row r="267">
      <c r="A267" t="str">
        <v>A-8466048650882854518</v>
      </c>
      <c r="B267" t="str">
        <v>System</v>
      </c>
      <c r="C267" t="str">
        <v>* Input 2 High</v>
      </c>
      <c r="D267" t="str">
        <v>* Input 2 High</v>
      </c>
      <c r="E267" t="e">
        <f>VLOOKUP(C:C,Sheet1!A:A,1,0)</f>
        <v>#N/A</v>
      </c>
      <c r="I267" t="str">
        <v>A3522792081055458809</v>
      </c>
      <c r="J267" t="str">
        <v>LafargeHolcim - Kenya</v>
      </c>
      <c r="K267" t="str">
        <v>OrganisationGroup</v>
      </c>
      <c r="L267" t="str">
        <v>E. Africa Standard Time</v>
      </c>
      <c r="M267">
        <v>0</v>
      </c>
    </row>
    <row r="268">
      <c r="A268" t="str">
        <v>A-9107232402036844231</v>
      </c>
      <c r="B268" t="str">
        <v>System</v>
      </c>
      <c r="C268" t="str">
        <v>* Input 2 Low</v>
      </c>
      <c r="D268" t="str">
        <v>* Input 2 Low</v>
      </c>
      <c r="E268" t="e">
        <f>VLOOKUP(C:C,Sheet1!A:A,1,0)</f>
        <v>#N/A</v>
      </c>
      <c r="I268" t="str">
        <v>A3522792081055458809</v>
      </c>
      <c r="J268" t="str">
        <v>LafargeHolcim - Kenya</v>
      </c>
      <c r="K268" t="str">
        <v>OrganisationGroup</v>
      </c>
      <c r="L268" t="str">
        <v>E. Africa Standard Time</v>
      </c>
      <c r="M268">
        <v>0</v>
      </c>
    </row>
    <row r="269">
      <c r="A269" t="str">
        <v>A-3082867732244905664</v>
      </c>
      <c r="B269" t="str">
        <v>Default</v>
      </c>
      <c r="C269" t="str">
        <v>Sub-trip start</v>
      </c>
      <c r="D269" t="str">
        <v>Sub-trip start</v>
      </c>
      <c r="E269" t="e">
        <f>VLOOKUP(C:C,Sheet1!A:A,1,0)</f>
        <v>#N/A</v>
      </c>
      <c r="I269" t="str">
        <v>A3522792081055458809</v>
      </c>
      <c r="J269" t="str">
        <v>LafargeHolcim - Kenya</v>
      </c>
      <c r="K269" t="str">
        <v>OrganisationGroup</v>
      </c>
      <c r="L269" t="str">
        <v>E. Africa Standard Time</v>
      </c>
      <c r="M269">
        <v>0</v>
      </c>
    </row>
    <row r="270">
      <c r="A270" t="str">
        <v>A6439752883345253459</v>
      </c>
      <c r="B270" t="str">
        <v>Default</v>
      </c>
      <c r="C270" t="str">
        <v>Sub-trip end</v>
      </c>
      <c r="D270" t="str">
        <v>Sub-trip end</v>
      </c>
      <c r="E270" t="e">
        <f>VLOOKUP(C:C,Sheet1!A:A,1,0)</f>
        <v>#N/A</v>
      </c>
      <c r="I270" t="str">
        <v>A3522792081055458809</v>
      </c>
      <c r="J270" t="str">
        <v>LafargeHolcim - Kenya</v>
      </c>
      <c r="K270" t="str">
        <v>OrganisationGroup</v>
      </c>
      <c r="L270" t="str">
        <v>E. Africa Standard Time</v>
      </c>
      <c r="M270">
        <v>0</v>
      </c>
    </row>
    <row r="271">
      <c r="A271" t="str">
        <v>A6593298508393752040</v>
      </c>
      <c r="B271" t="str">
        <v>HosViolation</v>
      </c>
      <c r="C271" t="str">
        <v>203:Daily Driving</v>
      </c>
      <c r="D271" t="str">
        <v>203:Daily Driving</v>
      </c>
      <c r="E271" t="e">
        <f>VLOOKUP(C:C,Sheet1!A:A,1,0)</f>
        <v>#N/A</v>
      </c>
      <c r="I271" t="str">
        <v>A3522792081055458809</v>
      </c>
      <c r="J271" t="str">
        <v>LafargeHolcim - Kenya</v>
      </c>
      <c r="K271" t="str">
        <v>OrganisationGroup</v>
      </c>
      <c r="L271" t="str">
        <v>E. Africa Standard Time</v>
      </c>
      <c r="M271">
        <v>0</v>
      </c>
    </row>
    <row r="272">
      <c r="A272" t="str">
        <v>A-5657734287350940835</v>
      </c>
      <c r="B272" t="str">
        <v>HosViolation</v>
      </c>
      <c r="C272" t="str">
        <v>703:Weekly Driving</v>
      </c>
      <c r="D272" t="str">
        <v>703:Weekly Driving</v>
      </c>
      <c r="E272" t="e">
        <f>VLOOKUP(C:C,Sheet1!A:A,1,0)</f>
        <v>#N/A</v>
      </c>
      <c r="I272" t="str">
        <v>A3522792081055458809</v>
      </c>
      <c r="J272" t="str">
        <v>LafargeHolcim - Kenya</v>
      </c>
      <c r="K272" t="str">
        <v>OrganisationGroup</v>
      </c>
      <c r="L272" t="str">
        <v>E. Africa Standard Time</v>
      </c>
      <c r="M272">
        <v>0</v>
      </c>
    </row>
    <row r="273">
      <c r="A273" t="str">
        <v>A7381579521304264993</v>
      </c>
      <c r="B273" t="str">
        <v>HosViolation</v>
      </c>
      <c r="C273" t="str">
        <v>801:Continuous Driving</v>
      </c>
      <c r="D273" t="str">
        <v>801:Continuous Driving</v>
      </c>
      <c r="E273" t="e">
        <f>VLOOKUP(C:C,Sheet1!A:A,1,0)</f>
        <v>#N/A</v>
      </c>
      <c r="I273" t="str">
        <v>A3522792081055458809</v>
      </c>
      <c r="J273" t="str">
        <v>LafargeHolcim - Kenya</v>
      </c>
      <c r="K273" t="str">
        <v>OrganisationGroup</v>
      </c>
      <c r="L273" t="str">
        <v>E. Africa Standard Time</v>
      </c>
      <c r="M273">
        <v>0</v>
      </c>
    </row>
    <row r="274">
      <c r="A274" t="str">
        <v>A4462786787242785826</v>
      </c>
      <c r="B274" t="str">
        <v>HosViolation</v>
      </c>
      <c r="C274" t="str">
        <v>111:Cycle On Duty Without Required Off Duty</v>
      </c>
      <c r="D274" t="str">
        <v>111:Cycle On Duty Without Required Off Duty</v>
      </c>
      <c r="E274" t="e">
        <f>VLOOKUP(C:C,Sheet1!A:A,1,0)</f>
        <v>#N/A</v>
      </c>
      <c r="I274" t="str">
        <v>A3522792081055458809</v>
      </c>
      <c r="J274" t="str">
        <v>LafargeHolcim - Kenya</v>
      </c>
      <c r="K274" t="str">
        <v>OrganisationGroup</v>
      </c>
      <c r="L274" t="str">
        <v>E. Africa Standard Time</v>
      </c>
      <c r="M274">
        <v>0</v>
      </c>
    </row>
    <row r="275">
      <c r="A275" t="str">
        <v>A4860548664254319917</v>
      </c>
      <c r="B275" t="str">
        <v>HosViolation</v>
      </c>
      <c r="C275" t="str">
        <v>112:Cycle Off Duty Periods</v>
      </c>
      <c r="D275" t="str">
        <v>112:Cycle Off Duty Periods</v>
      </c>
      <c r="E275" t="e">
        <f>VLOOKUP(C:C,Sheet1!A:A,1,0)</f>
        <v>#N/A</v>
      </c>
      <c r="I275" t="str">
        <v>A3522792081055458809</v>
      </c>
      <c r="J275" t="str">
        <v>LafargeHolcim - Kenya</v>
      </c>
      <c r="K275" t="str">
        <v>OrganisationGroup</v>
      </c>
      <c r="L275" t="str">
        <v>E. Africa Standard Time</v>
      </c>
      <c r="M275">
        <v>0</v>
      </c>
    </row>
    <row r="276">
      <c r="A276" t="str">
        <v>A8513466422555379336</v>
      </c>
      <c r="B276" t="str">
        <v>HosViolation</v>
      </c>
      <c r="C276" t="str">
        <v>109:Cycle On Duty</v>
      </c>
      <c r="D276" t="str">
        <v>109:Cycle On Duty</v>
      </c>
      <c r="E276" t="e">
        <f>VLOOKUP(C:C,Sheet1!A:A,1,0)</f>
        <v>#N/A</v>
      </c>
      <c r="I276" t="str">
        <v>A3522792081055458809</v>
      </c>
      <c r="J276" t="str">
        <v>LafargeHolcim - Kenya</v>
      </c>
      <c r="K276" t="str">
        <v>OrganisationGroup</v>
      </c>
      <c r="L276" t="str">
        <v>E. Africa Standard Time</v>
      </c>
      <c r="M276">
        <v>0</v>
      </c>
    </row>
    <row r="277">
      <c r="A277" t="str">
        <v>A474146278155760230</v>
      </c>
      <c r="B277" t="str">
        <v>HosViolation</v>
      </c>
      <c r="C277" t="str">
        <v>214:Daily Driving</v>
      </c>
      <c r="D277" t="str">
        <v>214:Daily Driving</v>
      </c>
      <c r="E277" t="e">
        <f>VLOOKUP(C:C,Sheet1!A:A,1,0)</f>
        <v>#N/A</v>
      </c>
      <c r="I277" t="str">
        <v>A3522792081055458809</v>
      </c>
      <c r="J277" t="str">
        <v>LafargeHolcim - Kenya</v>
      </c>
      <c r="K277" t="str">
        <v>OrganisationGroup</v>
      </c>
      <c r="L277" t="str">
        <v>E. Africa Standard Time</v>
      </c>
      <c r="M277">
        <v>0</v>
      </c>
    </row>
    <row r="278">
      <c r="A278" t="str">
        <v>A-5500972847847627848</v>
      </c>
      <c r="B278" t="str">
        <v>HosViolation</v>
      </c>
      <c r="C278" t="str">
        <v>213:Daily Driving Without Break</v>
      </c>
      <c r="D278" t="str">
        <v>213:Daily Driving Without Break</v>
      </c>
      <c r="E278" t="e">
        <f>VLOOKUP(C:C,Sheet1!A:A,1,0)</f>
        <v>#N/A</v>
      </c>
      <c r="I278" t="str">
        <v>A3522792081055458809</v>
      </c>
      <c r="J278" t="str">
        <v>LafargeHolcim - Kenya</v>
      </c>
      <c r="K278" t="str">
        <v>OrganisationGroup</v>
      </c>
      <c r="L278" t="str">
        <v>E. Africa Standard Time</v>
      </c>
      <c r="M278">
        <v>0</v>
      </c>
    </row>
    <row r="279">
      <c r="A279" t="str">
        <v>A-3713459320596572035</v>
      </c>
      <c r="B279" t="str">
        <v>HosViolation</v>
      </c>
      <c r="C279" t="str">
        <v>204:Daily Off Duty Deferral</v>
      </c>
      <c r="D279" t="str">
        <v>204:Daily Off Duty Deferral</v>
      </c>
      <c r="E279" t="e">
        <f>VLOOKUP(C:C,Sheet1!A:A,1,0)</f>
        <v>#N/A</v>
      </c>
      <c r="I279" t="str">
        <v>A3522792081055458809</v>
      </c>
      <c r="J279" t="str">
        <v>LafargeHolcim - Kenya</v>
      </c>
      <c r="K279" t="str">
        <v>OrganisationGroup</v>
      </c>
      <c r="L279" t="str">
        <v>E. Africa Standard Time</v>
      </c>
      <c r="M279">
        <v>0</v>
      </c>
    </row>
    <row r="280">
      <c r="A280" t="str">
        <v>A-4323406878300661891</v>
      </c>
      <c r="B280" t="str">
        <v>HosViolation</v>
      </c>
      <c r="C280" t="str">
        <v>205:Daily Off Duty</v>
      </c>
      <c r="D280" t="str">
        <v>205:Daily Off Duty</v>
      </c>
      <c r="E280" t="e">
        <f>VLOOKUP(C:C,Sheet1!A:A,1,0)</f>
        <v>#N/A</v>
      </c>
      <c r="I280" t="str">
        <v>A3522792081055458809</v>
      </c>
      <c r="J280" t="str">
        <v>LafargeHolcim - Kenya</v>
      </c>
      <c r="K280" t="str">
        <v>OrganisationGroup</v>
      </c>
      <c r="L280" t="str">
        <v>E. Africa Standard Time</v>
      </c>
      <c r="M280">
        <v>0</v>
      </c>
    </row>
    <row r="281">
      <c r="A281" t="str">
        <v>A-7187426481580122107</v>
      </c>
      <c r="B281" t="str">
        <v>HosViolation</v>
      </c>
      <c r="C281" t="str">
        <v>206:Daily Off Duty Not For Shift Reset</v>
      </c>
      <c r="D281" t="str">
        <v>206:Daily Off Duty Not For Shift Reset</v>
      </c>
      <c r="E281" t="e">
        <f>VLOOKUP(C:C,Sheet1!A:A,1,0)</f>
        <v>#N/A</v>
      </c>
      <c r="I281" t="str">
        <v>A3522792081055458809</v>
      </c>
      <c r="J281" t="str">
        <v>LafargeHolcim - Kenya</v>
      </c>
      <c r="K281" t="str">
        <v>OrganisationGroup</v>
      </c>
      <c r="L281" t="str">
        <v>E. Africa Standard Time</v>
      </c>
      <c r="M281">
        <v>0</v>
      </c>
    </row>
    <row r="282">
      <c r="A282" t="str">
        <v>A626334446554218316</v>
      </c>
      <c r="B282" t="str">
        <v>HosViolation</v>
      </c>
      <c r="C282" t="str">
        <v>207:Daily On Duty Maximum</v>
      </c>
      <c r="D282" t="str">
        <v>207:Daily On Duty Maximum</v>
      </c>
      <c r="E282" t="e">
        <f>VLOOKUP(C:C,Sheet1!A:A,1,0)</f>
        <v>#N/A</v>
      </c>
      <c r="I282" t="str">
        <v>A3522792081055458809</v>
      </c>
      <c r="J282" t="str">
        <v>LafargeHolcim - Kenya</v>
      </c>
      <c r="K282" t="str">
        <v>OrganisationGroup</v>
      </c>
      <c r="L282" t="str">
        <v>E. Africa Standard Time</v>
      </c>
      <c r="M282">
        <v>0</v>
      </c>
    </row>
    <row r="283">
      <c r="A283" t="str">
        <v>A1046475570982599663</v>
      </c>
      <c r="B283" t="str">
        <v>HosViolation</v>
      </c>
      <c r="C283" t="str">
        <v>215:Daily Rest</v>
      </c>
      <c r="D283" t="str">
        <v>215:Daily Rest</v>
      </c>
      <c r="E283" t="e">
        <f>VLOOKUP(C:C,Sheet1!A:A,1,0)</f>
        <v>#N/A</v>
      </c>
      <c r="I283" t="str">
        <v>A3522792081055458809</v>
      </c>
      <c r="J283" t="str">
        <v>LafargeHolcim - Kenya</v>
      </c>
      <c r="K283" t="str">
        <v>OrganisationGroup</v>
      </c>
      <c r="L283" t="str">
        <v>E. Africa Standard Time</v>
      </c>
      <c r="M283">
        <v>0</v>
      </c>
    </row>
    <row r="284">
      <c r="A284" t="str">
        <v>A788934116659239970</v>
      </c>
      <c r="B284" t="str">
        <v>HosViolation</v>
      </c>
      <c r="C284" t="str">
        <v>507:Shift Driving</v>
      </c>
      <c r="D284" t="str">
        <v>507:Shift Driving</v>
      </c>
      <c r="E284" t="e">
        <f>VLOOKUP(C:C,Sheet1!A:A,1,0)</f>
        <v>#N/A</v>
      </c>
      <c r="I284" t="str">
        <v>A3522792081055458809</v>
      </c>
      <c r="J284" t="str">
        <v>LafargeHolcim - Kenya</v>
      </c>
      <c r="K284" t="str">
        <v>OrganisationGroup</v>
      </c>
      <c r="L284" t="str">
        <v>E. Africa Standard Time</v>
      </c>
      <c r="M284">
        <v>0</v>
      </c>
    </row>
    <row r="285">
      <c r="A285" t="str">
        <v>A-2447872976812872480</v>
      </c>
      <c r="B285" t="str">
        <v>HosViolation</v>
      </c>
      <c r="C285" t="str">
        <v>508:Shift Break</v>
      </c>
      <c r="D285" t="str">
        <v>508:Shift Break</v>
      </c>
      <c r="E285" t="e">
        <f>VLOOKUP(C:C,Sheet1!A:A,1,0)</f>
        <v>#N/A</v>
      </c>
      <c r="I285" t="str">
        <v>A3522792081055458809</v>
      </c>
      <c r="J285" t="str">
        <v>LafargeHolcim - Kenya</v>
      </c>
      <c r="K285" t="str">
        <v>OrganisationGroup</v>
      </c>
      <c r="L285" t="str">
        <v>E. Africa Standard Time</v>
      </c>
      <c r="M285">
        <v>0</v>
      </c>
    </row>
    <row r="286">
      <c r="A286" t="str">
        <v>A6781060876286061560</v>
      </c>
      <c r="B286" t="str">
        <v>HosViolation</v>
      </c>
      <c r="C286" t="str">
        <v>509:Shift On Duty</v>
      </c>
      <c r="D286" t="str">
        <v>509:Shift On Duty</v>
      </c>
      <c r="E286" t="e">
        <f>VLOOKUP(C:C,Sheet1!A:A,1,0)</f>
        <v>#N/A</v>
      </c>
      <c r="I286" t="str">
        <v>A3522792081055458809</v>
      </c>
      <c r="J286" t="str">
        <v>LafargeHolcim - Kenya</v>
      </c>
      <c r="K286" t="str">
        <v>OrganisationGroup</v>
      </c>
      <c r="L286" t="str">
        <v>E. Africa Standard Time</v>
      </c>
      <c r="M286">
        <v>0</v>
      </c>
    </row>
    <row r="287">
      <c r="A287" t="str">
        <v>A-1355416219707714846</v>
      </c>
      <c r="B287" t="str">
        <v>HosViolation</v>
      </c>
      <c r="C287" t="str">
        <v>514:Shift Total</v>
      </c>
      <c r="D287" t="str">
        <v>514:Shift Total</v>
      </c>
      <c r="E287" t="e">
        <f>VLOOKUP(C:C,Sheet1!A:A,1,0)</f>
        <v>#N/A</v>
      </c>
      <c r="I287" t="str">
        <v>A3522792081055458809</v>
      </c>
      <c r="J287" t="str">
        <v>LafargeHolcim - Kenya</v>
      </c>
      <c r="K287" t="str">
        <v>OrganisationGroup</v>
      </c>
      <c r="L287" t="str">
        <v>E. Africa Standard Time</v>
      </c>
      <c r="M287">
        <v>0</v>
      </c>
    </row>
    <row r="288">
      <c r="A288" t="str">
        <v>A4471291987945988425</v>
      </c>
      <c r="B288" t="str">
        <v>HosViolation</v>
      </c>
      <c r="C288" t="str">
        <v>706:Reduced Rest Compensation</v>
      </c>
      <c r="D288" t="str">
        <v>706:Reduced Rest Compensation</v>
      </c>
      <c r="E288" t="e">
        <f>VLOOKUP(C:C,Sheet1!A:A,1,0)</f>
        <v>#N/A</v>
      </c>
      <c r="I288" t="str">
        <v>A3522792081055458809</v>
      </c>
      <c r="J288" t="str">
        <v>LafargeHolcim - Kenya</v>
      </c>
      <c r="K288" t="str">
        <v>OrganisationGroup</v>
      </c>
      <c r="L288" t="str">
        <v>E. Africa Standard Time</v>
      </c>
      <c r="M288">
        <v>0</v>
      </c>
    </row>
    <row r="289">
      <c r="A289" t="str">
        <v>A-6493888540163318841</v>
      </c>
      <c r="B289" t="str">
        <v>HosViolation</v>
      </c>
      <c r="C289" t="str">
        <v>704:Two Weekly Driving</v>
      </c>
      <c r="D289" t="str">
        <v>704:Two Weekly Driving</v>
      </c>
      <c r="E289" t="e">
        <f>VLOOKUP(C:C,Sheet1!A:A,1,0)</f>
        <v>#N/A</v>
      </c>
      <c r="I289" t="str">
        <v>A3522792081055458809</v>
      </c>
      <c r="J289" t="str">
        <v>LafargeHolcim - Kenya</v>
      </c>
      <c r="K289" t="str">
        <v>OrganisationGroup</v>
      </c>
      <c r="L289" t="str">
        <v>E. Africa Standard Time</v>
      </c>
      <c r="M289">
        <v>0</v>
      </c>
    </row>
    <row r="290">
      <c r="A290" t="str">
        <v>A-3018210039805496856</v>
      </c>
      <c r="B290" t="str">
        <v>HosViolation</v>
      </c>
      <c r="C290" t="str">
        <v>702:Two Weekly Rest</v>
      </c>
      <c r="D290" t="str">
        <v>702:Two Weekly Rest</v>
      </c>
      <c r="E290" t="e">
        <f>VLOOKUP(C:C,Sheet1!A:A,1,0)</f>
        <v>#N/A</v>
      </c>
      <c r="I290" t="str">
        <v>A3522792081055458809</v>
      </c>
      <c r="J290" t="str">
        <v>LafargeHolcim - Kenya</v>
      </c>
      <c r="K290" t="str">
        <v>OrganisationGroup</v>
      </c>
      <c r="L290" t="str">
        <v>E. Africa Standard Time</v>
      </c>
      <c r="M290">
        <v>0</v>
      </c>
    </row>
    <row r="291">
      <c r="A291" t="str">
        <v>A-7264907666821676844</v>
      </c>
      <c r="B291" t="str">
        <v>HosViolation</v>
      </c>
      <c r="C291" t="str">
        <v>701:Weekly Rest</v>
      </c>
      <c r="D291" t="str">
        <v>701:Weekly Rest</v>
      </c>
      <c r="E291" t="e">
        <f>VLOOKUP(C:C,Sheet1!A:A,1,0)</f>
        <v>#N/A</v>
      </c>
      <c r="I291" t="str">
        <v>A3522792081055458809</v>
      </c>
      <c r="J291" t="str">
        <v>LafargeHolcim - Kenya</v>
      </c>
      <c r="K291" t="str">
        <v>OrganisationGroup</v>
      </c>
      <c r="L291" t="str">
        <v>E. Africa Standard Time</v>
      </c>
      <c r="M291">
        <v>0</v>
      </c>
    </row>
    <row r="292">
      <c r="A292" t="str">
        <v>A-9172323129900124816</v>
      </c>
      <c r="B292" t="str">
        <v>HosViolation</v>
      </c>
      <c r="C292" t="str">
        <v>802:Daily Rest</v>
      </c>
      <c r="D292" t="str">
        <v>802:Daily Rest</v>
      </c>
      <c r="E292" t="e">
        <f>VLOOKUP(C:C,Sheet1!A:A,1,0)</f>
        <v>#N/A</v>
      </c>
      <c r="I292" t="str">
        <v>A3522792081055458809</v>
      </c>
      <c r="J292" t="str">
        <v>LafargeHolcim - Kenya</v>
      </c>
      <c r="K292" t="str">
        <v>OrganisationGroup</v>
      </c>
      <c r="L292" t="str">
        <v>E. Africa Standard Time</v>
      </c>
      <c r="M292">
        <v>0</v>
      </c>
    </row>
    <row r="293">
      <c r="A293" t="str">
        <v>A-8065777869118148601</v>
      </c>
      <c r="B293" t="str">
        <v>HosViolation</v>
      </c>
      <c r="C293" t="str">
        <v>805:Weekly Rest</v>
      </c>
      <c r="D293" t="str">
        <v>805:Weekly Rest</v>
      </c>
      <c r="E293" t="e">
        <f>VLOOKUP(C:C,Sheet1!A:A,1,0)</f>
        <v>#N/A</v>
      </c>
      <c r="I293" t="str">
        <v>A3522792081055458809</v>
      </c>
      <c r="J293" t="str">
        <v>LafargeHolcim - Kenya</v>
      </c>
      <c r="K293" t="str">
        <v>OrganisationGroup</v>
      </c>
      <c r="L293" t="str">
        <v>E. Africa Standard Time</v>
      </c>
      <c r="M293">
        <v>0</v>
      </c>
    </row>
    <row r="294">
      <c r="A294" t="str">
        <v>A5016057723140880891</v>
      </c>
      <c r="B294" t="str">
        <v>HosViolation</v>
      </c>
      <c r="C294" t="str">
        <v>806:Daily Driving</v>
      </c>
      <c r="D294" t="str">
        <v>806:Daily Driving</v>
      </c>
      <c r="E294" t="e">
        <f>VLOOKUP(C:C,Sheet1!A:A,1,0)</f>
        <v>#N/A</v>
      </c>
      <c r="I294" t="str">
        <v>A3522792081055458809</v>
      </c>
      <c r="J294" t="str">
        <v>LafargeHolcim - Kenya</v>
      </c>
      <c r="K294" t="str">
        <v>OrganisationGroup</v>
      </c>
      <c r="L294" t="str">
        <v>E. Africa Standard Time</v>
      </c>
      <c r="M294">
        <v>0</v>
      </c>
    </row>
    <row r="295">
      <c r="A295" t="str">
        <v>A6431581090744603609</v>
      </c>
      <c r="B295" t="str">
        <v>HosViolation</v>
      </c>
      <c r="C295" t="str">
        <v>824:Driving in 14 day period</v>
      </c>
      <c r="D295" t="str">
        <v>824:Driving in 14 day period</v>
      </c>
      <c r="E295" t="e">
        <f>VLOOKUP(C:C,Sheet1!A:A,1,0)</f>
        <v>#N/A</v>
      </c>
      <c r="I295" t="str">
        <v>A3522792081055458809</v>
      </c>
      <c r="J295" t="str">
        <v>LafargeHolcim - Kenya</v>
      </c>
      <c r="K295" t="str">
        <v>OrganisationGroup</v>
      </c>
      <c r="L295" t="str">
        <v>E. Africa Standard Time</v>
      </c>
      <c r="M295">
        <v>0</v>
      </c>
    </row>
    <row r="296">
      <c r="A296" t="str">
        <v>A7417918196186286721</v>
      </c>
      <c r="B296" t="str">
        <v>HosViolation</v>
      </c>
      <c r="C296" t="str">
        <v>808:Driving in 24H period</v>
      </c>
      <c r="D296" t="str">
        <v>808:Driving in 24H period</v>
      </c>
      <c r="E296" t="e">
        <f>VLOOKUP(C:C,Sheet1!A:A,1,0)</f>
        <v>#N/A</v>
      </c>
      <c r="I296" t="str">
        <v>A3522792081055458809</v>
      </c>
      <c r="J296" t="str">
        <v>LafargeHolcim - Kenya</v>
      </c>
      <c r="K296" t="str">
        <v>OrganisationGroup</v>
      </c>
      <c r="L296" t="str">
        <v>E. Africa Standard Time</v>
      </c>
      <c r="M296">
        <v>0</v>
      </c>
    </row>
    <row r="297">
      <c r="A297" t="str">
        <v>A7576360609625154071</v>
      </c>
      <c r="B297" t="str">
        <v>HosViolation</v>
      </c>
      <c r="C297" t="str">
        <v>811:Driving in 7 day period</v>
      </c>
      <c r="D297" t="str">
        <v>811:Driving in 7 day period</v>
      </c>
      <c r="E297" t="e">
        <f>VLOOKUP(C:C,Sheet1!A:A,1,0)</f>
        <v>#N/A</v>
      </c>
      <c r="I297" t="str">
        <v>A3522792081055458809</v>
      </c>
      <c r="J297" t="str">
        <v>LafargeHolcim - Kenya</v>
      </c>
      <c r="K297" t="str">
        <v>OrganisationGroup</v>
      </c>
      <c r="L297" t="str">
        <v>E. Africa Standard Time</v>
      </c>
      <c r="M297">
        <v>0</v>
      </c>
    </row>
    <row r="298">
      <c r="A298" t="str">
        <v>A1268987714023675166</v>
      </c>
      <c r="B298" t="str">
        <v>HosViolation</v>
      </c>
      <c r="C298" t="str">
        <v>815:Required Rest In 14 days</v>
      </c>
      <c r="D298" t="str">
        <v>815:Required Rest In 14 days</v>
      </c>
      <c r="E298" t="e">
        <f>VLOOKUP(C:C,Sheet1!A:A,1,0)</f>
        <v>#N/A</v>
      </c>
      <c r="I298" t="str">
        <v>A3522792081055458809</v>
      </c>
      <c r="J298" t="str">
        <v>LafargeHolcim - Kenya</v>
      </c>
      <c r="K298" t="str">
        <v>OrganisationGroup</v>
      </c>
      <c r="L298" t="str">
        <v>E. Africa Standard Time</v>
      </c>
      <c r="M298">
        <v>0</v>
      </c>
    </row>
    <row r="299">
      <c r="A299" t="str">
        <v>A5448669289706557268</v>
      </c>
      <c r="B299" t="str">
        <v>HosViolation</v>
      </c>
      <c r="C299" t="str">
        <v>809:Required Rest In 24 Hours</v>
      </c>
      <c r="D299" t="str">
        <v>809:Required Rest In 24 Hours</v>
      </c>
      <c r="E299" t="e">
        <f>VLOOKUP(C:C,Sheet1!A:A,1,0)</f>
        <v>#N/A</v>
      </c>
      <c r="I299" t="str">
        <v>A3522792081055458809</v>
      </c>
      <c r="J299" t="str">
        <v>LafargeHolcim - Kenya</v>
      </c>
      <c r="K299" t="str">
        <v>OrganisationGroup</v>
      </c>
      <c r="L299" t="str">
        <v>E. Africa Standard Time</v>
      </c>
      <c r="M299">
        <v>0</v>
      </c>
    </row>
    <row r="300">
      <c r="A300" t="str">
        <v>A3255191394606345900</v>
      </c>
      <c r="B300" t="str">
        <v>HosViolation</v>
      </c>
      <c r="C300" t="str">
        <v>812:Required Rest In 7 days</v>
      </c>
      <c r="D300" t="str">
        <v>812:Required Rest In 7 days</v>
      </c>
      <c r="E300" t="e">
        <f>VLOOKUP(C:C,Sheet1!A:A,1,0)</f>
        <v>#N/A</v>
      </c>
      <c r="I300" t="str">
        <v>A3522792081055458809</v>
      </c>
      <c r="J300" t="str">
        <v>LafargeHolcim - Kenya</v>
      </c>
      <c r="K300" t="str">
        <v>OrganisationGroup</v>
      </c>
      <c r="L300" t="str">
        <v>E. Africa Standard Time</v>
      </c>
      <c r="M300">
        <v>0</v>
      </c>
    </row>
    <row r="301">
      <c r="A301" t="str">
        <v>A6516311050243386436</v>
      </c>
      <c r="B301" t="str">
        <v>HosViolation</v>
      </c>
      <c r="C301" t="str">
        <v>821:Rest block long (11:00h, BFM 12:00h)</v>
      </c>
      <c r="D301" t="str">
        <v>821:Rest block long (11:00h, BFM 12:00h)</v>
      </c>
      <c r="E301" t="e">
        <f>VLOOKUP(C:C,Sheet1!A:A,1,0)</f>
        <v>#N/A</v>
      </c>
      <c r="I301" t="str">
        <v>A3522792081055458809</v>
      </c>
      <c r="J301" t="str">
        <v>LafargeHolcim - Kenya</v>
      </c>
      <c r="K301" t="str">
        <v>OrganisationGroup</v>
      </c>
      <c r="L301" t="str">
        <v>E. Africa Standard Time</v>
      </c>
      <c r="M301">
        <v>0</v>
      </c>
    </row>
    <row r="302">
      <c r="A302" t="str">
        <v>A216284886120432354</v>
      </c>
      <c r="B302" t="str">
        <v>HosViolation</v>
      </c>
      <c r="C302" t="str">
        <v>822:Rest block medium (8:00h, BFM 9:00h)</v>
      </c>
      <c r="D302" t="str">
        <v>822:Rest block medium (8:00h, BFM 9:00h)</v>
      </c>
      <c r="E302" t="e">
        <f>VLOOKUP(C:C,Sheet1!A:A,1,0)</f>
        <v>#N/A</v>
      </c>
      <c r="I302" t="str">
        <v>A3522792081055458809</v>
      </c>
      <c r="J302" t="str">
        <v>LafargeHolcim - Kenya</v>
      </c>
      <c r="K302" t="str">
        <v>OrganisationGroup</v>
      </c>
      <c r="L302" t="str">
        <v>E. Africa Standard Time</v>
      </c>
      <c r="M302">
        <v>0</v>
      </c>
    </row>
    <row r="303">
      <c r="A303" t="str">
        <v>A-9176671270936746107</v>
      </c>
      <c r="B303" t="str">
        <v>HosViolation</v>
      </c>
      <c r="C303" t="str">
        <v>823:Rest block short (5:30h, BFM 6:15h)</v>
      </c>
      <c r="D303" t="str">
        <v>823:Rest block short (5:30h, BFM 6:15h)</v>
      </c>
      <c r="E303" t="e">
        <f>VLOOKUP(C:C,Sheet1!A:A,1,0)</f>
        <v>#N/A</v>
      </c>
      <c r="I303" t="str">
        <v>A3522792081055458809</v>
      </c>
      <c r="J303" t="str">
        <v>LafargeHolcim - Kenya</v>
      </c>
      <c r="K303" t="str">
        <v>OrganisationGroup</v>
      </c>
      <c r="L303" t="str">
        <v>E. Africa Standard Time</v>
      </c>
      <c r="M303">
        <v>0</v>
      </c>
    </row>
    <row r="304">
      <c r="A304" t="str">
        <v>A8310203122876257133</v>
      </c>
      <c r="B304" t="str">
        <v>HosViolation</v>
      </c>
      <c r="C304" t="str">
        <v>825: Required Rest In 52 Hours</v>
      </c>
      <c r="D304" t="str">
        <v>825: Required Rest In 52 Hours</v>
      </c>
      <c r="E304" t="e">
        <f>VLOOKUP(C:C,Sheet1!A:A,1,0)</f>
        <v>#N/A</v>
      </c>
      <c r="I304" t="str">
        <v>A3522792081055458809</v>
      </c>
      <c r="J304" t="str">
        <v>LafargeHolcim - Kenya</v>
      </c>
      <c r="K304" t="str">
        <v>OrganisationGroup</v>
      </c>
      <c r="L304" t="str">
        <v>E. Africa Standard Time</v>
      </c>
      <c r="M304">
        <v>0</v>
      </c>
    </row>
    <row r="305">
      <c r="A305" t="str">
        <v>A6365240090597652472</v>
      </c>
      <c r="B305" t="str">
        <v>HosViolation</v>
      </c>
      <c r="C305" t="str">
        <v>829:Driving in 28 day period</v>
      </c>
      <c r="D305" t="str">
        <v>829:Driving in 28 day period</v>
      </c>
      <c r="E305" t="e">
        <f>VLOOKUP(C:C,Sheet1!A:A,1,0)</f>
        <v>#N/A</v>
      </c>
      <c r="I305" t="str">
        <v>A3522792081055458809</v>
      </c>
      <c r="J305" t="str">
        <v>LafargeHolcim - Kenya</v>
      </c>
      <c r="K305" t="str">
        <v>OrganisationGroup</v>
      </c>
      <c r="L305" t="str">
        <v>E. Africa Standard Time</v>
      </c>
      <c r="M305">
        <v>0</v>
      </c>
    </row>
    <row r="306">
      <c r="A306" t="str">
        <v>A1154155671739782144</v>
      </c>
      <c r="B306" t="str">
        <v>HosViolation</v>
      </c>
      <c r="C306" t="str">
        <v>830:Required Rest In 28 days</v>
      </c>
      <c r="D306" t="str">
        <v>830:Required Rest In 28 days</v>
      </c>
      <c r="E306" t="e">
        <f>VLOOKUP(C:C,Sheet1!A:A,1,0)</f>
        <v>#N/A</v>
      </c>
      <c r="I306" t="str">
        <v>A3522792081055458809</v>
      </c>
      <c r="J306" t="str">
        <v>LafargeHolcim - Kenya</v>
      </c>
      <c r="K306" t="str">
        <v>OrganisationGroup</v>
      </c>
      <c r="L306" t="str">
        <v>E. Africa Standard Time</v>
      </c>
      <c r="M306">
        <v>0</v>
      </c>
    </row>
    <row r="307">
      <c r="A307" t="str">
        <v>A7114384516709768172</v>
      </c>
      <c r="B307" t="str">
        <v>HosViolation</v>
      </c>
      <c r="C307" t="str">
        <v>834:Required Rest In 82 Hours</v>
      </c>
      <c r="D307" t="str">
        <v>834:Required Rest In 82 Hours</v>
      </c>
      <c r="E307" t="e">
        <f>VLOOKUP(C:C,Sheet1!A:A,1,0)</f>
        <v>#N/A</v>
      </c>
      <c r="I307" t="str">
        <v>A3522792081055458809</v>
      </c>
      <c r="J307" t="str">
        <v>LafargeHolcim - Kenya</v>
      </c>
      <c r="K307" t="str">
        <v>OrganisationGroup</v>
      </c>
      <c r="L307" t="str">
        <v>E. Africa Standard Time</v>
      </c>
      <c r="M307">
        <v>0</v>
      </c>
    </row>
    <row r="308">
      <c r="A308" t="str">
        <v>A1825907491738184089</v>
      </c>
      <c r="B308" t="str">
        <v>HosViolation</v>
      </c>
      <c r="C308" t="str">
        <v>837:Weekly Driving</v>
      </c>
      <c r="D308" t="str">
        <v>837:Weekly Driving</v>
      </c>
      <c r="E308" t="e">
        <f>VLOOKUP(C:C,Sheet1!A:A,1,0)</f>
        <v>#N/A</v>
      </c>
      <c r="I308" t="str">
        <v>A3522792081055458809</v>
      </c>
      <c r="J308" t="str">
        <v>LafargeHolcim - Kenya</v>
      </c>
      <c r="K308" t="str">
        <v>OrganisationGroup</v>
      </c>
      <c r="L308" t="str">
        <v>E. Africa Standard Time</v>
      </c>
      <c r="M308">
        <v>0</v>
      </c>
    </row>
    <row r="309">
      <c r="A309" t="str">
        <v>A6908615140553864348</v>
      </c>
      <c r="B309" t="str">
        <v>HosViolation</v>
      </c>
      <c r="C309" t="str">
        <v>838:Monthly Driving</v>
      </c>
      <c r="D309" t="str">
        <v>838:Monthly Driving</v>
      </c>
      <c r="E309" t="e">
        <f>VLOOKUP(C:C,Sheet1!A:A,1,0)</f>
        <v>#N/A</v>
      </c>
      <c r="I309" t="str">
        <v>A3522792081055458809</v>
      </c>
      <c r="J309" t="str">
        <v>LafargeHolcim - Kenya</v>
      </c>
      <c r="K309" t="str">
        <v>OrganisationGroup</v>
      </c>
      <c r="L309" t="str">
        <v>E. Africa Standard Time</v>
      </c>
      <c r="M309">
        <v>0</v>
      </c>
    </row>
    <row r="310">
      <c r="A310" t="str">
        <v>A-5856432860580602666</v>
      </c>
      <c r="B310" t="str">
        <v>HosViolation</v>
      </c>
      <c r="C310" t="str">
        <v>840:Required Rest Before</v>
      </c>
      <c r="D310" t="str">
        <v>840:Required Rest Before</v>
      </c>
      <c r="E310" t="e">
        <f>VLOOKUP(C:C,Sheet1!A:A,1,0)</f>
        <v>#N/A</v>
      </c>
      <c r="I310" t="str">
        <v>A3522792081055458809</v>
      </c>
      <c r="J310" t="str">
        <v>LafargeHolcim - Kenya</v>
      </c>
      <c r="K310" t="str">
        <v>OrganisationGroup</v>
      </c>
      <c r="L310" t="str">
        <v>E. Africa Standard Time</v>
      </c>
      <c r="M310">
        <v>0</v>
      </c>
    </row>
    <row r="311">
      <c r="A311" t="str">
        <v>A7018716150654874550</v>
      </c>
      <c r="B311" t="str">
        <v>HosViolation</v>
      </c>
      <c r="C311" t="str">
        <v>857:Maximum Two Week Driving</v>
      </c>
      <c r="D311" t="str">
        <v>857:Maximum Two Week Driving</v>
      </c>
      <c r="E311" t="e">
        <f>VLOOKUP(C:C,Sheet1!A:A,1,0)</f>
        <v>#N/A</v>
      </c>
      <c r="I311" t="str">
        <v>A3522792081055458809</v>
      </c>
      <c r="J311" t="str">
        <v>LafargeHolcim - Kenya</v>
      </c>
      <c r="K311" t="str">
        <v>OrganisationGroup</v>
      </c>
      <c r="L311" t="str">
        <v>E. Africa Standard Time</v>
      </c>
      <c r="M311">
        <v>0</v>
      </c>
    </row>
    <row r="312">
      <c r="A312" t="str">
        <v>A5237475855404103650</v>
      </c>
      <c r="B312" t="str">
        <v>HosViolation</v>
      </c>
      <c r="C312" t="str">
        <v>835:Night Driving</v>
      </c>
      <c r="D312" t="str">
        <v>835:Night Driving</v>
      </c>
      <c r="E312" t="e">
        <f>VLOOKUP(C:C,Sheet1!A:A,1,0)</f>
        <v>#N/A</v>
      </c>
      <c r="I312" t="str">
        <v>A3522792081055458809</v>
      </c>
      <c r="J312" t="str">
        <v>LafargeHolcim - Kenya</v>
      </c>
      <c r="K312" t="str">
        <v>OrganisationGroup</v>
      </c>
      <c r="L312" t="str">
        <v>E. Africa Standard Time</v>
      </c>
      <c r="M312">
        <v>0</v>
      </c>
    </row>
    <row r="313">
      <c r="A313" t="str">
        <v>A3269849178444244131</v>
      </c>
      <c r="B313" t="str">
        <v>HosViolation</v>
      </c>
      <c r="C313" t="str">
        <v>855:Weekly Rolling On Duty Reset</v>
      </c>
      <c r="D313" t="str">
        <v>855:Weekly Rolling On Duty Reset</v>
      </c>
      <c r="E313" t="e">
        <f>VLOOKUP(C:C,Sheet1!A:A,1,0)</f>
        <v>#N/A</v>
      </c>
      <c r="I313" t="str">
        <v>A3522792081055458809</v>
      </c>
      <c r="J313" t="str">
        <v>LafargeHolcim - Kenya</v>
      </c>
      <c r="K313" t="str">
        <v>OrganisationGroup</v>
      </c>
      <c r="L313" t="str">
        <v>E. Africa Standard Time</v>
      </c>
      <c r="M313">
        <v>0</v>
      </c>
    </row>
    <row r="314">
      <c r="A314" t="str">
        <v>A3203334990470836499</v>
      </c>
      <c r="B314" t="str">
        <v>HosViolation</v>
      </c>
      <c r="C314" t="str">
        <v>852:Maximum Consecutive Driving Days</v>
      </c>
      <c r="D314" t="str">
        <v>852:Maximum Consecutive Driving Days</v>
      </c>
      <c r="E314" t="e">
        <f>VLOOKUP(C:C,Sheet1!A:A,1,0)</f>
        <v>#N/A</v>
      </c>
      <c r="I314" t="str">
        <v>A3522792081055458809</v>
      </c>
      <c r="J314" t="str">
        <v>LafargeHolcim - Kenya</v>
      </c>
      <c r="K314" t="str">
        <v>OrganisationGroup</v>
      </c>
      <c r="L314" t="str">
        <v>E. Africa Standard Time</v>
      </c>
      <c r="M314">
        <v>0</v>
      </c>
    </row>
    <row r="315">
      <c r="A315" t="str">
        <v>A3067265545407279544</v>
      </c>
      <c r="B315" t="str">
        <v>HosViolation</v>
      </c>
      <c r="C315" t="str">
        <v>856:Split Break Reset</v>
      </c>
      <c r="D315" t="str">
        <v>856:Split Break Reset</v>
      </c>
      <c r="E315" t="e">
        <f>VLOOKUP(C:C,Sheet1!A:A,1,0)</f>
        <v>#N/A</v>
      </c>
      <c r="I315" t="str">
        <v>A3522792081055458809</v>
      </c>
      <c r="J315" t="str">
        <v>LafargeHolcim - Kenya</v>
      </c>
      <c r="K315" t="str">
        <v>OrganisationGroup</v>
      </c>
      <c r="L315" t="str">
        <v>E. Africa Standard Time</v>
      </c>
      <c r="M315">
        <v>0</v>
      </c>
    </row>
    <row r="316">
      <c r="A316" t="str">
        <v>A5191813006292187858</v>
      </c>
      <c r="B316" t="str">
        <v>HosViolation</v>
      </c>
      <c r="C316" t="str">
        <v>853:Weekly Rolling Reset</v>
      </c>
      <c r="D316" t="str">
        <v>853:Weekly Rolling Reset</v>
      </c>
      <c r="E316" t="e">
        <f>VLOOKUP(C:C,Sheet1!A:A,1,0)</f>
        <v>#N/A</v>
      </c>
      <c r="I316" t="str">
        <v>A3522792081055458809</v>
      </c>
      <c r="J316" t="str">
        <v>LafargeHolcim - Kenya</v>
      </c>
      <c r="K316" t="str">
        <v>OrganisationGroup</v>
      </c>
      <c r="L316" t="str">
        <v>E. Africa Standard Time</v>
      </c>
      <c r="M316">
        <v>0</v>
      </c>
    </row>
    <row r="317">
      <c r="A317" t="str">
        <v>A5093883055575592834</v>
      </c>
      <c r="B317" t="str">
        <v>HosViolation</v>
      </c>
      <c r="C317" t="str">
        <v>854:Maximum Weekly Driving</v>
      </c>
      <c r="D317" t="str">
        <v>854:Maximum Weekly Driving</v>
      </c>
      <c r="E317" t="e">
        <f>VLOOKUP(C:C,Sheet1!A:A,1,0)</f>
        <v>#N/A</v>
      </c>
      <c r="I317" t="str">
        <v>A3522792081055458809</v>
      </c>
      <c r="J317" t="str">
        <v>LafargeHolcim - Kenya</v>
      </c>
      <c r="K317" t="str">
        <v>OrganisationGroup</v>
      </c>
      <c r="L317" t="str">
        <v>E. Africa Standard Time</v>
      </c>
      <c r="M317">
        <v>0</v>
      </c>
    </row>
    <row r="318">
      <c r="A318" t="str">
        <v>A2190406540841410081</v>
      </c>
      <c r="B318" t="str">
        <v>HosViolation</v>
      </c>
      <c r="C318" t="str">
        <v xml:space="preserve">861:Required Off Duty In Calendar Month </v>
      </c>
      <c r="D318" t="str">
        <v xml:space="preserve">861:Required Off Duty In Calendar Month </v>
      </c>
      <c r="E318" t="e">
        <f>VLOOKUP(C:C,Sheet1!A:A,1,0)</f>
        <v>#N/A</v>
      </c>
      <c r="I318" t="str">
        <v>A3522792081055458809</v>
      </c>
      <c r="J318" t="str">
        <v>LafargeHolcim - Kenya</v>
      </c>
      <c r="K318" t="str">
        <v>OrganisationGroup</v>
      </c>
      <c r="L318" t="str">
        <v>E. Africa Standard Time</v>
      </c>
      <c r="M318">
        <v>0</v>
      </c>
    </row>
    <row r="319">
      <c r="A319" t="str">
        <v>A-2730877443971433118</v>
      </c>
      <c r="B319" t="str">
        <v>Default</v>
      </c>
      <c r="C319" t="str">
        <v>Diagnostic: Satellite communication message limit set</v>
      </c>
      <c r="D319" t="str">
        <v>Diagnostic: Satellite communication message limit set</v>
      </c>
      <c r="E319" t="e">
        <f>VLOOKUP(C:C,Sheet1!A:A,1,0)</f>
        <v>#N/A</v>
      </c>
      <c r="I319" t="str">
        <v>A3522792081055458809</v>
      </c>
      <c r="J319" t="str">
        <v>LafargeHolcim - Kenya</v>
      </c>
      <c r="K319" t="str">
        <v>OrganisationGroup</v>
      </c>
      <c r="L319" t="str">
        <v>E. Africa Standard Time</v>
      </c>
      <c r="M319">
        <v>0</v>
      </c>
    </row>
    <row r="320">
      <c r="A320" t="str">
        <v>A2978313165985390321</v>
      </c>
      <c r="B320" t="str">
        <v>Default</v>
      </c>
      <c r="C320" t="str">
        <v>OBC unit Engine Hours changed</v>
      </c>
      <c r="D320" t="str">
        <v>OBC unit Engine Hours changed</v>
      </c>
      <c r="E320" t="e">
        <f>VLOOKUP(C:C,Sheet1!A:A,1,0)</f>
        <v>#N/A</v>
      </c>
      <c r="I320" t="str">
        <v>A3522792081055458809</v>
      </c>
      <c r="J320" t="str">
        <v>LafargeHolcim - Kenya</v>
      </c>
      <c r="K320" t="str">
        <v>OrganisationGroup</v>
      </c>
      <c r="L320" t="str">
        <v>E. Africa Standard Time</v>
      </c>
      <c r="M320">
        <v>0</v>
      </c>
    </row>
    <row r="321">
      <c r="A321" t="str">
        <v>A2715425441390540159</v>
      </c>
      <c r="B321" t="str">
        <v>Default</v>
      </c>
      <c r="C321" t="str">
        <v>OBC unit date changed</v>
      </c>
      <c r="D321" t="str">
        <v>OBC unit date changed</v>
      </c>
      <c r="E321" t="e">
        <f>VLOOKUP(C:C,Sheet1!A:A,1,0)</f>
        <v>#N/A</v>
      </c>
      <c r="I321" t="str">
        <v>A3522792081055458809</v>
      </c>
      <c r="J321" t="str">
        <v>LafargeHolcim - Kenya</v>
      </c>
      <c r="K321" t="str">
        <v>OrganisationGroup</v>
      </c>
      <c r="L321" t="str">
        <v>E. Africa Standard Time</v>
      </c>
      <c r="M321">
        <v>0</v>
      </c>
    </row>
    <row r="322">
      <c r="A322" t="str">
        <v>A-6717396111168447572</v>
      </c>
      <c r="B322" t="str">
        <v>Default</v>
      </c>
      <c r="C322" t="str">
        <v>OBC unit odometer changed</v>
      </c>
      <c r="D322" t="str">
        <v>OBC unit odometer changed</v>
      </c>
      <c r="E322" t="e">
        <f>VLOOKUP(C:C,Sheet1!A:A,1,0)</f>
        <v>#N/A</v>
      </c>
      <c r="I322" t="str">
        <v>A3522792081055458809</v>
      </c>
      <c r="J322" t="str">
        <v>LafargeHolcim - Kenya</v>
      </c>
      <c r="K322" t="str">
        <v>OrganisationGroup</v>
      </c>
      <c r="L322" t="str">
        <v>E. Africa Standard Time</v>
      </c>
      <c r="M322">
        <v>0</v>
      </c>
    </row>
    <row r="323">
      <c r="A323" t="str">
        <v>A6455806276341189645</v>
      </c>
      <c r="B323" t="str">
        <v>Default</v>
      </c>
      <c r="C323" t="str">
        <v>OBC unit reset</v>
      </c>
      <c r="D323" t="str">
        <v>OBC unit reset</v>
      </c>
      <c r="E323" t="e">
        <f>VLOOKUP(C:C,Sheet1!A:A,1,0)</f>
        <v>#N/A</v>
      </c>
      <c r="I323" t="str">
        <v>A3522792081055458809</v>
      </c>
      <c r="J323" t="str">
        <v>LafargeHolcim - Kenya</v>
      </c>
      <c r="K323" t="str">
        <v>OrganisationGroup</v>
      </c>
      <c r="L323" t="str">
        <v>E. Africa Standard Time</v>
      </c>
      <c r="M323">
        <v>0</v>
      </c>
    </row>
    <row r="324">
      <c r="A324" t="str">
        <v>A-2399821658786872464</v>
      </c>
      <c r="B324" t="str">
        <v>Default</v>
      </c>
      <c r="C324" t="str">
        <v>Speed calibrated (calibration plug)</v>
      </c>
      <c r="D324" t="str">
        <v>Speed calibrated (calibration plug)</v>
      </c>
      <c r="E324" t="e">
        <f>VLOOKUP(C:C,Sheet1!A:A,1,0)</f>
        <v>#N/A</v>
      </c>
      <c r="F324" t="str">
        <v>Speed calibration pulses</v>
      </c>
      <c r="G324" t="str">
        <v>Value</v>
      </c>
      <c r="I324" t="str">
        <v>A3522792081055458809</v>
      </c>
      <c r="J324" t="str">
        <v>LafargeHolcim - Kenya</v>
      </c>
      <c r="K324" t="str">
        <v>OrganisationGroup</v>
      </c>
      <c r="L324" t="str">
        <v>E. Africa Standard Time</v>
      </c>
      <c r="M324">
        <v>0</v>
      </c>
    </row>
    <row r="325">
      <c r="A325" t="str">
        <v>A-8144084955119801250</v>
      </c>
      <c r="B325" t="str">
        <v>Default</v>
      </c>
      <c r="C325" t="str">
        <v>RPM calibrated (calibration plug)</v>
      </c>
      <c r="D325" t="str">
        <v>RPM calibrated (calibration plug)</v>
      </c>
      <c r="E325" t="e">
        <f>VLOOKUP(C:C,Sheet1!A:A,1,0)</f>
        <v>#N/A</v>
      </c>
      <c r="F325" t="str">
        <v>RPM calibration pulses</v>
      </c>
      <c r="G325" t="str">
        <v>Value</v>
      </c>
      <c r="I325" t="str">
        <v>A3522792081055458809</v>
      </c>
      <c r="J325" t="str">
        <v>LafargeHolcim - Kenya</v>
      </c>
      <c r="K325" t="str">
        <v>OrganisationGroup</v>
      </c>
      <c r="L325" t="str">
        <v>E. Africa Standard Time</v>
      </c>
      <c r="M325">
        <v>0</v>
      </c>
    </row>
    <row r="326">
      <c r="A326" t="str">
        <v>A341083421588912423</v>
      </c>
      <c r="B326" t="str">
        <v>Default</v>
      </c>
      <c r="C326" t="str">
        <v>Record trip Driver picture</v>
      </c>
      <c r="D326" t="str">
        <v>Record trip Driver picture</v>
      </c>
      <c r="E326" t="e">
        <f>VLOOKUP(C:C,Sheet1!A:A,1,0)</f>
        <v>#N/A</v>
      </c>
      <c r="I326" t="str">
        <v>A3522792081055458809</v>
      </c>
      <c r="J326" t="str">
        <v>LafargeHolcim - Kenya</v>
      </c>
      <c r="K326" t="str">
        <v>OrganisationGroup</v>
      </c>
      <c r="L326" t="str">
        <v>E. Africa Standard Time</v>
      </c>
      <c r="M326">
        <v>0</v>
      </c>
    </row>
    <row r="327">
      <c r="A327" t="str">
        <v>A-225322217624061558</v>
      </c>
      <c r="B327" t="str">
        <v>Default</v>
      </c>
      <c r="C327" t="str">
        <v>* OBC unit reset</v>
      </c>
      <c r="D327" t="str">
        <v>* OBC unit reset</v>
      </c>
      <c r="E327" t="e">
        <f>VLOOKUP(C:C,Sheet1!A:A,1,0)</f>
        <v>#N/A</v>
      </c>
      <c r="I327" t="str">
        <v>A3522792081055458809</v>
      </c>
      <c r="J327" t="str">
        <v>LafargeHolcim - Kenya</v>
      </c>
      <c r="K327" t="str">
        <v>OrganisationGroup</v>
      </c>
      <c r="L327" t="str">
        <v>E. Africa Standard Time</v>
      </c>
      <c r="M327">
        <v>0</v>
      </c>
    </row>
    <row r="328">
      <c r="A328" t="str">
        <v>A5970287838518153586</v>
      </c>
      <c r="B328" t="str">
        <v>Hidden</v>
      </c>
      <c r="C328" t="str">
        <v>Save job message data</v>
      </c>
      <c r="D328" t="str">
        <v>Save job message data</v>
      </c>
      <c r="E328" t="e">
        <f>VLOOKUP(C:C,Sheet1!A:A,1,0)</f>
        <v>#N/A</v>
      </c>
      <c r="I328" t="str">
        <v>A3522792081055458809</v>
      </c>
      <c r="J328" t="str">
        <v>LafargeHolcim - Kenya</v>
      </c>
      <c r="K328" t="str">
        <v>OrganisationGroup</v>
      </c>
      <c r="L328" t="str">
        <v>E. Africa Standard Time</v>
      </c>
      <c r="M328">
        <v>0</v>
      </c>
    </row>
    <row r="329">
      <c r="A329" t="str">
        <v>A-3792298274765039854</v>
      </c>
      <c r="B329" t="str">
        <v>Hidden</v>
      </c>
      <c r="C329" t="str">
        <v>Active ignition state change</v>
      </c>
      <c r="D329" t="str">
        <v>Active ignition state change</v>
      </c>
      <c r="E329" t="e">
        <f>VLOOKUP(C:C,Sheet1!A:A,1,0)</f>
        <v>#N/A</v>
      </c>
      <c r="F329" t="str">
        <v>Ignition Voltage</v>
      </c>
      <c r="G329" t="str">
        <v>Value</v>
      </c>
      <c r="H329" t="str">
        <v>mV</v>
      </c>
      <c r="I329" t="str">
        <v>A3522792081055458809</v>
      </c>
      <c r="J329" t="str">
        <v>LafargeHolcim - Kenya</v>
      </c>
      <c r="K329" t="str">
        <v>OrganisationGroup</v>
      </c>
      <c r="L329" t="str">
        <v>E. Africa Standard Time</v>
      </c>
      <c r="M329">
        <v>0</v>
      </c>
    </row>
    <row r="330">
      <c r="A330" t="str">
        <v>A-5202712496663974930</v>
      </c>
      <c r="B330" t="str">
        <v>Hidden</v>
      </c>
      <c r="C330" t="str">
        <v>High priority active track point</v>
      </c>
      <c r="D330" t="str">
        <v>High priority active track point</v>
      </c>
      <c r="E330" t="e">
        <f>VLOOKUP(C:C,Sheet1!A:A,1,0)</f>
        <v>#N/A</v>
      </c>
      <c r="I330" t="str">
        <v>A3522792081055458809</v>
      </c>
      <c r="J330" t="str">
        <v>LafargeHolcim - Kenya</v>
      </c>
      <c r="K330" t="str">
        <v>OrganisationGroup</v>
      </c>
      <c r="L330" t="str">
        <v>E. Africa Standard Time</v>
      </c>
      <c r="M330">
        <v>0</v>
      </c>
    </row>
    <row r="331">
      <c r="A331" t="str">
        <v>A-6266869554747599730</v>
      </c>
      <c r="B331" t="str">
        <v>Hidden</v>
      </c>
      <c r="C331" t="str">
        <v>Active track point</v>
      </c>
      <c r="D331" t="str">
        <v>Active track point</v>
      </c>
      <c r="E331" t="e">
        <f>VLOOKUP(C:C,Sheet1!A:A,1,0)</f>
        <v>#N/A</v>
      </c>
      <c r="I331" t="str">
        <v>A3522792081055458809</v>
      </c>
      <c r="J331" t="str">
        <v>LafargeHolcim - Kenya</v>
      </c>
      <c r="K331" t="str">
        <v>OrganisationGroup</v>
      </c>
      <c r="L331" t="str">
        <v>E. Africa Standard Time</v>
      </c>
      <c r="M331">
        <v>0</v>
      </c>
    </row>
    <row r="332">
      <c r="A332" t="str">
        <v>A-4479498118140367800</v>
      </c>
      <c r="B332" t="str">
        <v>Hidden</v>
      </c>
      <c r="C332" t="str">
        <v>Final active track point</v>
      </c>
      <c r="D332" t="str">
        <v>Final active track point</v>
      </c>
      <c r="E332" t="e">
        <f>VLOOKUP(C:C,Sheet1!A:A,1,0)</f>
        <v>#N/A</v>
      </c>
      <c r="I332" t="str">
        <v>A3522792081055458809</v>
      </c>
      <c r="J332" t="str">
        <v>LafargeHolcim - Kenya</v>
      </c>
      <c r="K332" t="str">
        <v>OrganisationGroup</v>
      </c>
      <c r="L332" t="str">
        <v>E. Africa Standard Time</v>
      </c>
      <c r="M332">
        <v>0</v>
      </c>
    </row>
    <row r="333">
      <c r="A333" t="str">
        <v>A-8462656232830278080</v>
      </c>
      <c r="B333" t="str">
        <v>Hidden</v>
      </c>
      <c r="C333" t="str">
        <v>Active Trail point</v>
      </c>
      <c r="D333" t="str">
        <v>Active Trail point</v>
      </c>
      <c r="E333" t="e">
        <f>VLOOKUP(C:C,Sheet1!A:A,1,0)</f>
        <v>#N/A</v>
      </c>
      <c r="I333" t="str">
        <v>A3522792081055458809</v>
      </c>
      <c r="J333" t="str">
        <v>LafargeHolcim - Kenya</v>
      </c>
      <c r="K333" t="str">
        <v>OrganisationGroup</v>
      </c>
      <c r="L333" t="str">
        <v>E. Africa Standard Time</v>
      </c>
      <c r="M333">
        <v>0</v>
      </c>
    </row>
    <row r="334">
      <c r="A334" t="str">
        <v>A-570540139813056189</v>
      </c>
      <c r="B334" t="str">
        <v>Custom</v>
      </c>
      <c r="C334" t="str">
        <v>3-Axis - Possible Accident (In Trip)</v>
      </c>
      <c r="D334" t="str">
        <v>3-Axis - Possible Accident (In Trip)</v>
      </c>
      <c r="E334" t="str">
        <v>3-Axis - Possible Accident (In Trip)</v>
      </c>
      <c r="G334" t="str">
        <v>Value</v>
      </c>
      <c r="H334" t="str">
        <v>g</v>
      </c>
      <c r="I334" t="str">
        <v>A3522792081055458809</v>
      </c>
      <c r="J334" t="str">
        <v>LafargeHolcim - Kenya</v>
      </c>
      <c r="K334" t="str">
        <v>OrganisationGroup</v>
      </c>
      <c r="L334" t="str">
        <v>E. Africa Standard Time</v>
      </c>
      <c r="M334">
        <v>1</v>
      </c>
    </row>
  </sheetData>
  <autoFilter ref="A1:M334"/>
  <pageMargins left="0.7" right="0.7" top="0.75" bottom="0.75" header="0.3" footer="0.3"/>
  <ignoredErrors>
    <ignoredError numberStoredAsText="1" sqref="A1:M3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 rightToLeft="0"/>
  </sheetViews>
  <sheetData>
    <row r="1">
      <c r="A1" t="str">
        <v>report_name</v>
      </c>
      <c r="B1" t="str">
        <v>report_dirs</v>
      </c>
      <c r="C1" t="str">
        <v>to_pull</v>
      </c>
      <c r="D1" t="str">
        <v>args</v>
      </c>
      <c r="E1" t="str">
        <v>tmp_pull</v>
      </c>
      <c r="F1" t="str">
        <v>to_pull_2</v>
      </c>
      <c r="G1" t="str">
        <v>to_pull_umbrella</v>
      </c>
    </row>
    <row r="2">
      <c r="A2" t="str">
        <v>Dakawou</v>
      </c>
      <c r="B2" t="str">
        <v>Dakawou</v>
      </c>
      <c r="C2">
        <v>1</v>
      </c>
      <c r="E2">
        <v>1</v>
      </c>
      <c r="F2">
        <v>1</v>
      </c>
      <c r="G2">
        <v>0</v>
      </c>
    </row>
    <row r="3">
      <c r="A3" t="str">
        <v>Roy Hauliers - Lafarge</v>
      </c>
      <c r="B3" t="str">
        <v>Roy Hauliers - Lafarge</v>
      </c>
      <c r="C3">
        <v>0</v>
      </c>
      <c r="E3">
        <v>1</v>
      </c>
      <c r="F3">
        <v>1</v>
      </c>
      <c r="G3">
        <v>0</v>
      </c>
    </row>
    <row r="4">
      <c r="A4" t="str">
        <v>Manara</v>
      </c>
      <c r="B4" t="str">
        <v>Manara</v>
      </c>
      <c r="C4">
        <v>1</v>
      </c>
      <c r="E4">
        <v>1</v>
      </c>
      <c r="F4">
        <v>1</v>
      </c>
      <c r="G4">
        <v>0</v>
      </c>
    </row>
    <row r="5">
      <c r="A5" t="str">
        <v>East African Roadways</v>
      </c>
      <c r="B5" t="str">
        <v>East African Roadways</v>
      </c>
      <c r="C5">
        <v>0</v>
      </c>
      <c r="E5">
        <v>0</v>
      </c>
      <c r="F5">
        <v>0</v>
      </c>
      <c r="G5">
        <v>0</v>
      </c>
    </row>
    <row r="6">
      <c r="A6" t="str">
        <v>Roy Transmotors</v>
      </c>
      <c r="B6" t="str">
        <v>Roy Transmotors</v>
      </c>
      <c r="C6">
        <v>0</v>
      </c>
      <c r="E6">
        <v>1</v>
      </c>
      <c r="F6">
        <v>1</v>
      </c>
      <c r="G6">
        <v>0</v>
      </c>
    </row>
    <row r="7">
      <c r="A7" t="str">
        <v>Anwarali</v>
      </c>
      <c r="B7" t="str">
        <v>Anwarali</v>
      </c>
      <c r="C7">
        <v>1</v>
      </c>
      <c r="E7">
        <v>1</v>
      </c>
      <c r="F7">
        <v>1</v>
      </c>
      <c r="G7">
        <v>0</v>
      </c>
    </row>
    <row r="8">
      <c r="A8" t="str">
        <v>BSP</v>
      </c>
      <c r="B8" t="str">
        <v>BSP</v>
      </c>
      <c r="C8">
        <v>1</v>
      </c>
      <c r="E8">
        <v>1</v>
      </c>
      <c r="F8">
        <v>1</v>
      </c>
      <c r="G8">
        <v>0</v>
      </c>
    </row>
    <row r="9">
      <c r="A9" t="str">
        <v>Metro Logistics</v>
      </c>
      <c r="B9" t="str">
        <v>Metro Logistics</v>
      </c>
      <c r="C9">
        <v>0</v>
      </c>
      <c r="E9">
        <v>0</v>
      </c>
      <c r="F9">
        <v>0</v>
      </c>
      <c r="G9">
        <v>0</v>
      </c>
    </row>
    <row r="10">
      <c r="A10" t="str">
        <v>Derdols Tech Services</v>
      </c>
      <c r="B10" t="str">
        <v>Derdols Tech Services</v>
      </c>
      <c r="C10">
        <v>0</v>
      </c>
      <c r="E10">
        <v>1</v>
      </c>
      <c r="F10">
        <v>1</v>
      </c>
      <c r="G10">
        <v>0</v>
      </c>
    </row>
    <row r="11">
      <c r="A11" t="str">
        <v>Eldakk &amp; Sharlycon Invesment</v>
      </c>
      <c r="B11" t="str">
        <v>Sharlycon Invesment</v>
      </c>
      <c r="C11">
        <v>1</v>
      </c>
      <c r="E11">
        <v>1</v>
      </c>
      <c r="F11">
        <v>1</v>
      </c>
      <c r="G11">
        <v>0</v>
      </c>
    </row>
    <row r="12">
      <c r="A12" t="str">
        <v>Buzeki</v>
      </c>
      <c r="B12" t="str">
        <v>Buzeki</v>
      </c>
      <c r="C12">
        <v>0</v>
      </c>
      <c r="E12">
        <v>0</v>
      </c>
      <c r="F12">
        <v>0</v>
      </c>
      <c r="G12">
        <v>0</v>
      </c>
    </row>
    <row r="13">
      <c r="A13" t="str">
        <v>Astrum Limited (BSP)</v>
      </c>
      <c r="B13" t="str">
        <v>Astrum Limited (BSP)</v>
      </c>
      <c r="C13">
        <v>1</v>
      </c>
      <c r="E13">
        <v>1</v>
      </c>
      <c r="F13">
        <v>1</v>
      </c>
      <c r="G13">
        <v>0</v>
      </c>
    </row>
    <row r="14">
      <c r="A14" t="str">
        <v>Epanko (BSP)</v>
      </c>
      <c r="B14" t="str">
        <v>Epanko (BSP)</v>
      </c>
      <c r="C14">
        <v>0</v>
      </c>
      <c r="E14">
        <v>0</v>
      </c>
      <c r="F14">
        <v>0</v>
      </c>
      <c r="G14">
        <v>0</v>
      </c>
    </row>
    <row r="15">
      <c r="A15" t="str">
        <v>Brits Freighters</v>
      </c>
      <c r="B15" t="str">
        <v>Brits Freighters</v>
      </c>
      <c r="C15">
        <v>0</v>
      </c>
      <c r="E15">
        <v>0</v>
      </c>
      <c r="F15">
        <v>0</v>
      </c>
      <c r="G15">
        <v>0</v>
      </c>
    </row>
    <row r="16">
      <c r="A16" t="str">
        <v>Delight (BSP)</v>
      </c>
      <c r="B16" t="str">
        <v>Delight (BSP)</v>
      </c>
      <c r="C16">
        <v>0</v>
      </c>
      <c r="E16">
        <v>0</v>
      </c>
      <c r="F16">
        <v>0</v>
      </c>
      <c r="G16">
        <v>0</v>
      </c>
    </row>
    <row r="17">
      <c r="A17" t="str">
        <v>Fazluna Enterprises</v>
      </c>
      <c r="B17" t="str">
        <v>Fazluna Enterprises</v>
      </c>
      <c r="C17">
        <v>1</v>
      </c>
      <c r="E17">
        <v>1</v>
      </c>
      <c r="F17">
        <v>1</v>
      </c>
      <c r="G17">
        <v>0</v>
      </c>
    </row>
    <row r="18">
      <c r="A18" t="str">
        <v>Masai</v>
      </c>
      <c r="B18" t="str">
        <v>Masai</v>
      </c>
      <c r="C18">
        <v>0</v>
      </c>
      <c r="E18">
        <v>0</v>
      </c>
      <c r="F18">
        <v>0</v>
      </c>
      <c r="G18">
        <v>0</v>
      </c>
    </row>
    <row r="19">
      <c r="A19" t="str">
        <v>Lex (BSP)</v>
      </c>
      <c r="B19" t="str">
        <v>Lex (BSP)</v>
      </c>
      <c r="C19">
        <v>0</v>
      </c>
      <c r="E19">
        <v>0</v>
      </c>
      <c r="F19">
        <v>0</v>
      </c>
      <c r="G19">
        <v>0</v>
      </c>
    </row>
    <row r="20">
      <c r="A20" t="str">
        <v>Palemtu Limited</v>
      </c>
      <c r="B20" t="str">
        <v>Palemtu Limited</v>
      </c>
      <c r="C20">
        <v>0</v>
      </c>
      <c r="E20">
        <v>0</v>
      </c>
      <c r="F20">
        <v>0</v>
      </c>
      <c r="G20">
        <v>0</v>
      </c>
    </row>
    <row r="21">
      <c r="A21" t="str">
        <v>Mbatia Investments</v>
      </c>
      <c r="B21" t="str">
        <v>Mbatia Investments</v>
      </c>
      <c r="C21">
        <v>0</v>
      </c>
      <c r="E21">
        <v>1</v>
      </c>
      <c r="F21">
        <v>1</v>
      </c>
      <c r="G21">
        <v>0</v>
      </c>
    </row>
    <row r="22">
      <c r="A22" t="str">
        <v>Hacienda</v>
      </c>
      <c r="B22" t="str">
        <v>Hacienda</v>
      </c>
      <c r="C22">
        <v>1</v>
      </c>
      <c r="E22">
        <v>1</v>
      </c>
      <c r="F22">
        <v>1</v>
      </c>
      <c r="G22">
        <v>0</v>
      </c>
    </row>
    <row r="23">
      <c r="A23" t="str">
        <v>Jopeed (BSP)</v>
      </c>
      <c r="B23" t="str">
        <v>Jopeed (BSP)</v>
      </c>
      <c r="C23">
        <v>1</v>
      </c>
      <c r="E23">
        <v>1</v>
      </c>
      <c r="F23">
        <v>1</v>
      </c>
      <c r="G23">
        <v>0</v>
      </c>
    </row>
    <row r="24">
      <c r="A24" t="str">
        <v>Alfalah Logistics limited</v>
      </c>
      <c r="B24" t="str">
        <v>Alfalah Logistics limited</v>
      </c>
      <c r="C24">
        <v>0</v>
      </c>
      <c r="E24">
        <v>0</v>
      </c>
      <c r="F24">
        <v>0</v>
      </c>
      <c r="G24">
        <v>0</v>
      </c>
    </row>
    <row r="25">
      <c r="A25" t="str">
        <v>Country Farm</v>
      </c>
      <c r="B25" t="str">
        <v>Country Farm</v>
      </c>
      <c r="C25">
        <v>0</v>
      </c>
      <c r="E25">
        <v>0</v>
      </c>
      <c r="F25">
        <v>0</v>
      </c>
      <c r="G25">
        <v>0</v>
      </c>
    </row>
    <row r="26">
      <c r="A26" t="str">
        <v>Bemoney Investment</v>
      </c>
      <c r="B26" t="str">
        <v>Bemoney Investment</v>
      </c>
      <c r="C26">
        <v>1</v>
      </c>
      <c r="E26">
        <v>1</v>
      </c>
      <c r="F26">
        <v>1</v>
      </c>
      <c r="G26">
        <v>0</v>
      </c>
    </row>
    <row r="27">
      <c r="A27" t="str">
        <v>K.B Sanghani</v>
      </c>
      <c r="B27" t="str">
        <v>K.B Sanghani</v>
      </c>
      <c r="C27">
        <v>0</v>
      </c>
      <c r="E27">
        <v>0</v>
      </c>
      <c r="F27">
        <v>0</v>
      </c>
      <c r="G27">
        <v>0</v>
      </c>
    </row>
    <row r="28">
      <c r="A28" t="str">
        <v>Malawanza</v>
      </c>
      <c r="B28" t="str">
        <v>Malawanza</v>
      </c>
      <c r="C28">
        <v>0</v>
      </c>
      <c r="E28">
        <v>1</v>
      </c>
      <c r="F28">
        <v>1</v>
      </c>
      <c r="G28">
        <v>0</v>
      </c>
    </row>
    <row r="29">
      <c r="A29" t="str">
        <v>GrandSubterra</v>
      </c>
      <c r="B29" t="str">
        <v>GrandSubterra</v>
      </c>
      <c r="C29">
        <v>1</v>
      </c>
      <c r="E29">
        <v>1</v>
      </c>
      <c r="F29">
        <v>1</v>
      </c>
      <c r="G29">
        <v>0</v>
      </c>
    </row>
    <row r="30">
      <c r="A30" t="str">
        <v>Ponty Pridd</v>
      </c>
      <c r="B30" t="str">
        <v>Ponty Pridd</v>
      </c>
      <c r="C30">
        <v>1</v>
      </c>
      <c r="E30">
        <v>1</v>
      </c>
      <c r="F30">
        <v>1</v>
      </c>
      <c r="G30">
        <v>0</v>
      </c>
    </row>
    <row r="31">
      <c r="A31" t="str">
        <v>Arabian Transport</v>
      </c>
      <c r="B31" t="str">
        <v>Arabian Transport Ventures</v>
      </c>
      <c r="C31">
        <v>0</v>
      </c>
      <c r="E31">
        <v>0</v>
      </c>
      <c r="F31">
        <v>0</v>
      </c>
      <c r="G31">
        <v>0</v>
      </c>
    </row>
    <row r="32">
      <c r="A32" t="str">
        <v>Divine Assinter</v>
      </c>
      <c r="B32" t="str">
        <v>Divine Assinter</v>
      </c>
      <c r="C32">
        <v>0</v>
      </c>
      <c r="E32">
        <v>0</v>
      </c>
      <c r="F32">
        <v>0</v>
      </c>
      <c r="G32">
        <v>0</v>
      </c>
    </row>
    <row r="33">
      <c r="A33" t="str">
        <v>Bamico</v>
      </c>
      <c r="B33" t="str">
        <v>Bamico</v>
      </c>
      <c r="C33">
        <v>0</v>
      </c>
      <c r="E33">
        <v>0</v>
      </c>
      <c r="F33">
        <v>0</v>
      </c>
      <c r="G33">
        <v>0</v>
      </c>
    </row>
    <row r="34">
      <c r="A34" t="str">
        <v>OML Africa Logistics limited</v>
      </c>
      <c r="B34" t="str">
        <v>OML Africa Logistics limited</v>
      </c>
      <c r="C34">
        <v>1</v>
      </c>
      <c r="E34">
        <v>1</v>
      </c>
      <c r="F34">
        <v>1</v>
      </c>
      <c r="G34">
        <v>0</v>
      </c>
    </row>
    <row r="35">
      <c r="A35" t="str">
        <v>Askomint Limited (BSP)</v>
      </c>
      <c r="B35" t="str">
        <v>Askomint Limited (BSP)</v>
      </c>
      <c r="C35">
        <v>0</v>
      </c>
      <c r="E35">
        <v>1</v>
      </c>
      <c r="F35">
        <v>1</v>
      </c>
      <c r="G35">
        <v>0</v>
      </c>
    </row>
    <row r="36">
      <c r="A36" t="str">
        <v>Crown Petroleum</v>
      </c>
      <c r="B36" t="str">
        <v>Crown Petroleum</v>
      </c>
      <c r="C36">
        <v>0</v>
      </c>
      <c r="E36">
        <v>0</v>
      </c>
      <c r="F36">
        <v>0</v>
      </c>
      <c r="G36">
        <v>0</v>
      </c>
    </row>
    <row r="37">
      <c r="A37" t="str">
        <v>Horizon Cargo</v>
      </c>
      <c r="B37" t="str">
        <v>Horizon Cargo</v>
      </c>
      <c r="C37">
        <v>0</v>
      </c>
      <c r="E37">
        <v>0</v>
      </c>
      <c r="F37">
        <v>0</v>
      </c>
      <c r="G37">
        <v>0</v>
      </c>
    </row>
    <row r="38">
      <c r="A38" t="str">
        <v>Namunyak (BSP)</v>
      </c>
      <c r="B38" t="str">
        <v>Namunyak (BSP)</v>
      </c>
      <c r="C38">
        <v>0</v>
      </c>
      <c r="E38">
        <v>0</v>
      </c>
      <c r="F38">
        <v>0</v>
      </c>
      <c r="G38">
        <v>0</v>
      </c>
    </row>
    <row r="39">
      <c r="A39" t="str">
        <v>Bikash</v>
      </c>
      <c r="B39" t="str">
        <v>Bikash</v>
      </c>
      <c r="C39">
        <v>1</v>
      </c>
      <c r="E39">
        <v>1</v>
      </c>
      <c r="F39">
        <v>1</v>
      </c>
      <c r="G39">
        <v>0</v>
      </c>
    </row>
    <row r="40">
      <c r="A40" t="str">
        <v>Arabian Transport</v>
      </c>
      <c r="B40" t="str">
        <v>Arabian Transport</v>
      </c>
      <c r="C40">
        <v>1</v>
      </c>
      <c r="E40">
        <v>1</v>
      </c>
      <c r="F40">
        <v>1</v>
      </c>
      <c r="G40">
        <v>0</v>
      </c>
    </row>
    <row r="41">
      <c r="A41" t="str">
        <v>AMM Engineering Works LTD</v>
      </c>
      <c r="B41" t="str">
        <v>AMM Engineering Works LTD</v>
      </c>
      <c r="C41">
        <v>0</v>
      </c>
      <c r="E41">
        <v>1</v>
      </c>
      <c r="F41">
        <v>1</v>
      </c>
      <c r="G41">
        <v>0</v>
      </c>
    </row>
    <row r="42">
      <c r="A42" t="str">
        <v>BCL Staff Vehicles</v>
      </c>
      <c r="B42" t="str">
        <v>BCL Staff Vehicles</v>
      </c>
      <c r="C42">
        <v>0</v>
      </c>
      <c r="E42">
        <v>1</v>
      </c>
      <c r="F42">
        <v>1</v>
      </c>
      <c r="G42">
        <v>0</v>
      </c>
    </row>
    <row r="43">
      <c r="A43" t="str">
        <v>Eldakk &amp; Sharlycon Invesment</v>
      </c>
      <c r="B43" t="str">
        <v>Eldakk</v>
      </c>
      <c r="C43">
        <v>1</v>
      </c>
      <c r="E43">
        <v>1</v>
      </c>
      <c r="F43">
        <v>1</v>
      </c>
      <c r="G43">
        <v>0</v>
      </c>
    </row>
    <row r="44">
      <c r="A44" t="str">
        <v>Yellow Arrow</v>
      </c>
      <c r="B44" t="str">
        <v>Yellow Arrow</v>
      </c>
      <c r="C44">
        <v>0</v>
      </c>
      <c r="E44">
        <v>0</v>
      </c>
      <c r="F44">
        <v>0</v>
      </c>
      <c r="G44">
        <v>0</v>
      </c>
    </row>
    <row r="45">
      <c r="A45" t="str">
        <v>Africa Rail Opportunities</v>
      </c>
      <c r="B45" t="str">
        <v>Africa Rail Opportunities</v>
      </c>
      <c r="C45">
        <v>1</v>
      </c>
      <c r="E45">
        <v>1</v>
      </c>
      <c r="F45">
        <v>1</v>
      </c>
      <c r="G45">
        <v>0</v>
      </c>
    </row>
    <row r="46">
      <c r="A46" t="str">
        <v>Lafarge test units</v>
      </c>
      <c r="B46" t="str">
        <v>Lafarge test units</v>
      </c>
      <c r="C46">
        <v>0</v>
      </c>
      <c r="E46">
        <v>0</v>
      </c>
      <c r="F46">
        <v>0</v>
      </c>
      <c r="G46">
        <v>0</v>
      </c>
    </row>
    <row r="47">
      <c r="A47" t="str">
        <v>Siginon Group</v>
      </c>
      <c r="B47" t="str">
        <v>Siginon Group</v>
      </c>
      <c r="C47">
        <v>0</v>
      </c>
      <c r="E47">
        <v>0</v>
      </c>
      <c r="F47">
        <v>0</v>
      </c>
      <c r="G47">
        <v>0</v>
      </c>
    </row>
    <row r="48">
      <c r="A48" t="str">
        <v>Roqitt</v>
      </c>
      <c r="B48" t="str">
        <v>Roqitt</v>
      </c>
      <c r="C48">
        <v>0</v>
      </c>
      <c r="E48">
        <v>1</v>
      </c>
      <c r="F48">
        <v>1</v>
      </c>
      <c r="G48">
        <v>0</v>
      </c>
    </row>
    <row r="49">
      <c r="A49" t="str">
        <v>Multiple Hauliers</v>
      </c>
      <c r="B49" t="str">
        <v>Multiple Hauliers</v>
      </c>
      <c r="C49">
        <v>0</v>
      </c>
      <c r="E49">
        <v>1</v>
      </c>
      <c r="F49">
        <v>1</v>
      </c>
      <c r="G49">
        <v>0</v>
      </c>
    </row>
    <row r="50">
      <c r="A50" t="str">
        <v>Lafarge</v>
      </c>
      <c r="B50" t="str">
        <v>Dakawou</v>
      </c>
      <c r="C50">
        <v>0</v>
      </c>
      <c r="G50">
        <v>1</v>
      </c>
      <c r="H50">
        <v>0</v>
      </c>
    </row>
    <row r="51">
      <c r="A51" t="str">
        <v>Lafarge</v>
      </c>
      <c r="B51" t="str">
        <v>Roy Hauliers - Lafarge</v>
      </c>
      <c r="C51">
        <v>0</v>
      </c>
      <c r="G51">
        <v>0</v>
      </c>
      <c r="H51">
        <v>0</v>
      </c>
    </row>
    <row r="52">
      <c r="A52" t="str">
        <v>Lafarge</v>
      </c>
      <c r="B52" t="str">
        <v>Manara</v>
      </c>
      <c r="C52">
        <v>0</v>
      </c>
      <c r="G52">
        <v>1</v>
      </c>
      <c r="H52">
        <v>0</v>
      </c>
    </row>
    <row r="53">
      <c r="A53" t="str">
        <v>Lafarge</v>
      </c>
      <c r="B53" t="str">
        <v>East African Roadways</v>
      </c>
      <c r="C53">
        <v>0</v>
      </c>
      <c r="G53">
        <v>0</v>
      </c>
    </row>
    <row r="54">
      <c r="A54" t="str">
        <v>Lafarge</v>
      </c>
      <c r="B54" t="str">
        <v>Roy Transmotors</v>
      </c>
      <c r="C54">
        <v>0</v>
      </c>
      <c r="G54">
        <v>0</v>
      </c>
    </row>
    <row r="55">
      <c r="A55" t="str">
        <v>Lafarge</v>
      </c>
      <c r="B55" t="str">
        <v>Anwarali</v>
      </c>
      <c r="C55">
        <v>0</v>
      </c>
      <c r="G55">
        <v>1</v>
      </c>
      <c r="H55">
        <v>0</v>
      </c>
    </row>
    <row r="56">
      <c r="A56" t="str">
        <v>Lafarge</v>
      </c>
      <c r="B56" t="str">
        <v>BSP</v>
      </c>
      <c r="C56">
        <v>0</v>
      </c>
      <c r="G56">
        <v>1</v>
      </c>
      <c r="H56">
        <v>0</v>
      </c>
    </row>
    <row r="57">
      <c r="A57" t="str">
        <v>Lafarge</v>
      </c>
      <c r="B57" t="str">
        <v>Metro Logistics</v>
      </c>
      <c r="C57">
        <v>0</v>
      </c>
      <c r="G57">
        <v>0</v>
      </c>
    </row>
    <row r="58">
      <c r="A58" t="str">
        <v>Lafarge</v>
      </c>
      <c r="B58" t="str">
        <v>Derdols Tech Services</v>
      </c>
      <c r="C58">
        <v>0</v>
      </c>
      <c r="G58">
        <v>0</v>
      </c>
      <c r="H58">
        <v>0</v>
      </c>
    </row>
    <row r="59">
      <c r="A59" t="str">
        <v>Lafarge</v>
      </c>
      <c r="B59" t="str">
        <v>Sharlycon Invesment</v>
      </c>
      <c r="C59">
        <v>0</v>
      </c>
      <c r="G59">
        <v>1</v>
      </c>
      <c r="H59">
        <v>0</v>
      </c>
    </row>
    <row r="60">
      <c r="A60" t="str">
        <v>Lafarge</v>
      </c>
      <c r="B60" t="str">
        <v>Trailink</v>
      </c>
      <c r="C60">
        <v>0</v>
      </c>
      <c r="G60">
        <v>0</v>
      </c>
      <c r="H60">
        <v>0</v>
      </c>
    </row>
    <row r="61">
      <c r="A61" t="str">
        <v>Lafarge</v>
      </c>
      <c r="B61" t="str">
        <v>Buzeki</v>
      </c>
      <c r="C61">
        <v>0</v>
      </c>
      <c r="G61">
        <v>0</v>
      </c>
    </row>
    <row r="62">
      <c r="A62" t="str">
        <v>Lafarge</v>
      </c>
      <c r="B62" t="str">
        <v>Astrum Limited (BSP)</v>
      </c>
      <c r="C62">
        <v>0</v>
      </c>
      <c r="G62">
        <v>1</v>
      </c>
      <c r="H62">
        <v>0</v>
      </c>
    </row>
    <row r="63">
      <c r="A63" t="str">
        <v>Lafarge</v>
      </c>
      <c r="B63" t="str">
        <v>Epanko (BSP)</v>
      </c>
      <c r="C63">
        <v>0</v>
      </c>
      <c r="G63">
        <v>0</v>
      </c>
    </row>
    <row r="64">
      <c r="A64" t="str">
        <v>Lafarge</v>
      </c>
      <c r="B64" t="str">
        <v>Brits Freighters</v>
      </c>
      <c r="C64">
        <v>0</v>
      </c>
      <c r="G64">
        <v>0</v>
      </c>
    </row>
    <row r="65">
      <c r="A65" t="str">
        <v>Lafarge</v>
      </c>
      <c r="B65" t="str">
        <v>Delight (BSP)</v>
      </c>
      <c r="C65">
        <v>0</v>
      </c>
      <c r="G65">
        <v>0</v>
      </c>
    </row>
    <row r="66">
      <c r="A66" t="str">
        <v>Lafarge</v>
      </c>
      <c r="B66" t="str">
        <v>Fazluna Enterprises</v>
      </c>
      <c r="C66">
        <v>0</v>
      </c>
      <c r="G66">
        <v>1</v>
      </c>
      <c r="H66">
        <v>0</v>
      </c>
    </row>
    <row r="67">
      <c r="A67" t="str">
        <v>Lafarge</v>
      </c>
      <c r="B67" t="str">
        <v>Masai</v>
      </c>
      <c r="C67">
        <v>0</v>
      </c>
      <c r="G67">
        <v>0</v>
      </c>
    </row>
    <row r="68">
      <c r="A68" t="str">
        <v>Lafarge</v>
      </c>
      <c r="B68" t="str">
        <v>Lex (BSP)</v>
      </c>
      <c r="C68">
        <v>0</v>
      </c>
      <c r="G68">
        <v>0</v>
      </c>
    </row>
    <row r="69">
      <c r="A69" t="str">
        <v>Lafarge</v>
      </c>
      <c r="B69" t="str">
        <v>Palemtu Limited</v>
      </c>
      <c r="C69">
        <v>0</v>
      </c>
      <c r="G69">
        <v>0</v>
      </c>
    </row>
    <row r="70">
      <c r="A70" t="str">
        <v>Lafarge</v>
      </c>
      <c r="B70" t="str">
        <v>Hacienda</v>
      </c>
      <c r="C70">
        <v>0</v>
      </c>
      <c r="G70">
        <v>1</v>
      </c>
      <c r="H70">
        <v>0</v>
      </c>
    </row>
    <row r="71">
      <c r="A71" t="str">
        <v>Lafarge</v>
      </c>
      <c r="B71" t="str">
        <v>Jopeed (BSP)</v>
      </c>
      <c r="C71">
        <v>0</v>
      </c>
      <c r="G71">
        <v>1</v>
      </c>
      <c r="H71">
        <v>0</v>
      </c>
    </row>
    <row r="72">
      <c r="A72" t="str">
        <v>Lafarge</v>
      </c>
      <c r="B72" t="str">
        <v>Alfalah Logistics limited</v>
      </c>
      <c r="C72">
        <v>0</v>
      </c>
      <c r="G72">
        <v>0</v>
      </c>
    </row>
    <row r="73">
      <c r="A73" t="str">
        <v>Lafarge</v>
      </c>
      <c r="B73" t="str">
        <v>Country Farm</v>
      </c>
      <c r="C73">
        <v>0</v>
      </c>
      <c r="G73">
        <v>0</v>
      </c>
    </row>
    <row r="74">
      <c r="A74" t="str">
        <v>Lafarge</v>
      </c>
      <c r="B74" t="str">
        <v>Bemoney Investment</v>
      </c>
      <c r="C74">
        <v>0</v>
      </c>
      <c r="G74">
        <v>1</v>
      </c>
      <c r="H74">
        <v>0</v>
      </c>
    </row>
    <row r="75">
      <c r="A75" t="str">
        <v>Lafarge</v>
      </c>
      <c r="B75" t="str">
        <v>K.B Sanghani</v>
      </c>
      <c r="C75">
        <v>0</v>
      </c>
      <c r="G75">
        <v>0</v>
      </c>
    </row>
    <row r="76">
      <c r="A76" t="str">
        <v>Lafarge</v>
      </c>
      <c r="B76" t="str">
        <v>Malawanza</v>
      </c>
      <c r="C76">
        <v>0</v>
      </c>
      <c r="G76">
        <v>0</v>
      </c>
      <c r="H76">
        <v>0</v>
      </c>
    </row>
    <row r="77">
      <c r="A77" t="str">
        <v>Lafarge</v>
      </c>
      <c r="B77" t="str">
        <v>GrandSubterra</v>
      </c>
      <c r="C77">
        <v>0</v>
      </c>
      <c r="G77">
        <v>1</v>
      </c>
      <c r="H77">
        <v>0</v>
      </c>
    </row>
    <row r="78">
      <c r="A78" t="str">
        <v>Lafarge</v>
      </c>
      <c r="B78" t="str">
        <v>Ponty Pridd</v>
      </c>
      <c r="C78">
        <v>0</v>
      </c>
      <c r="G78">
        <v>1</v>
      </c>
      <c r="H78">
        <v>0</v>
      </c>
    </row>
    <row r="79">
      <c r="A79" t="str">
        <v>Lafarge</v>
      </c>
      <c r="B79" t="str">
        <v>Arabian Transport</v>
      </c>
      <c r="C79">
        <v>0</v>
      </c>
      <c r="G79">
        <v>1</v>
      </c>
    </row>
    <row r="80">
      <c r="A80" t="str">
        <v>Lafarge</v>
      </c>
      <c r="B80" t="str">
        <v>Divine Assinter</v>
      </c>
      <c r="C80">
        <v>0</v>
      </c>
      <c r="G80">
        <v>0</v>
      </c>
    </row>
    <row r="81">
      <c r="A81" t="str">
        <v>Lafarge</v>
      </c>
      <c r="B81" t="str">
        <v>Bamico</v>
      </c>
      <c r="C81">
        <v>0</v>
      </c>
      <c r="G81">
        <v>0</v>
      </c>
    </row>
    <row r="82">
      <c r="A82" t="str">
        <v>Lafarge</v>
      </c>
      <c r="B82" t="str">
        <v>OML Africa Logistics limited</v>
      </c>
      <c r="C82">
        <v>0</v>
      </c>
      <c r="G82">
        <v>1</v>
      </c>
      <c r="H82">
        <v>0</v>
      </c>
    </row>
    <row r="83">
      <c r="A83" t="str">
        <v>Lafarge</v>
      </c>
      <c r="B83" t="str">
        <v>Askomint Limited (BSP)</v>
      </c>
      <c r="C83">
        <v>0</v>
      </c>
      <c r="G83">
        <v>1</v>
      </c>
      <c r="H83">
        <v>0</v>
      </c>
    </row>
    <row r="84">
      <c r="A84" t="str">
        <v>Lafarge</v>
      </c>
      <c r="B84" t="str">
        <v>Crown Petroleum</v>
      </c>
      <c r="C84">
        <v>0</v>
      </c>
      <c r="G84">
        <v>0</v>
      </c>
      <c r="H84">
        <v>0</v>
      </c>
    </row>
    <row r="85">
      <c r="A85" t="str">
        <v>Lafarge</v>
      </c>
      <c r="B85" t="str">
        <v>Horizon Cargo</v>
      </c>
      <c r="C85">
        <v>0</v>
      </c>
      <c r="G85">
        <v>0</v>
      </c>
    </row>
    <row r="86">
      <c r="A86" t="str">
        <v>Lafarge</v>
      </c>
      <c r="B86" t="str">
        <v>Namunyak (BSP)</v>
      </c>
      <c r="C86">
        <v>0</v>
      </c>
      <c r="G86">
        <v>0</v>
      </c>
    </row>
    <row r="87">
      <c r="A87" t="str">
        <v>Lafarge</v>
      </c>
      <c r="B87" t="str">
        <v>Multiple Hauliers</v>
      </c>
      <c r="C87">
        <v>0</v>
      </c>
      <c r="G87">
        <v>0</v>
      </c>
      <c r="H87">
        <v>0</v>
      </c>
    </row>
    <row r="88">
      <c r="A88" t="str">
        <v>Lafarge</v>
      </c>
      <c r="B88" t="str">
        <v>Arabian Transport</v>
      </c>
      <c r="C88">
        <v>0</v>
      </c>
      <c r="G88">
        <v>1</v>
      </c>
      <c r="H88">
        <v>0</v>
      </c>
    </row>
    <row r="89">
      <c r="A89" t="str">
        <v>Lafarge</v>
      </c>
      <c r="B89" t="str">
        <v>AMM Engineering Works LTD</v>
      </c>
      <c r="C89">
        <v>0</v>
      </c>
      <c r="G89">
        <v>0</v>
      </c>
    </row>
    <row r="90">
      <c r="A90" t="str">
        <v>Lafarge</v>
      </c>
      <c r="B90" t="str">
        <v>BCL Staff Vehicles</v>
      </c>
      <c r="C90">
        <v>0</v>
      </c>
      <c r="G90">
        <v>0</v>
      </c>
    </row>
    <row r="91">
      <c r="A91" t="str">
        <v>Lafarge</v>
      </c>
      <c r="B91" t="str">
        <v>Eldakk</v>
      </c>
      <c r="C91">
        <v>0</v>
      </c>
      <c r="G91">
        <v>1</v>
      </c>
      <c r="H91">
        <v>0</v>
      </c>
    </row>
    <row r="92">
      <c r="A92" t="str">
        <v>Lafarge</v>
      </c>
      <c r="B92" t="str">
        <v>Yellow Arrow</v>
      </c>
      <c r="C92">
        <v>0</v>
      </c>
      <c r="G92">
        <v>0</v>
      </c>
    </row>
    <row r="93">
      <c r="A93" t="str">
        <v>Lafarge</v>
      </c>
      <c r="B93" t="str">
        <v>Africa Rail Opportunities</v>
      </c>
      <c r="C93">
        <v>0</v>
      </c>
      <c r="G93">
        <v>1</v>
      </c>
      <c r="H93">
        <v>0</v>
      </c>
    </row>
    <row r="94">
      <c r="A94" t="str">
        <v>Lafarge</v>
      </c>
      <c r="B94" t="str">
        <v>Lafarge test units</v>
      </c>
      <c r="C94">
        <v>0</v>
      </c>
      <c r="G94">
        <v>0</v>
      </c>
    </row>
    <row r="95">
      <c r="A95" t="str">
        <v>Lafarge</v>
      </c>
      <c r="B95" t="str">
        <v>Siginon Group</v>
      </c>
      <c r="C95">
        <v>0</v>
      </c>
      <c r="G95">
        <v>0</v>
      </c>
    </row>
    <row r="96">
      <c r="A96" t="str">
        <v>Lafarge</v>
      </c>
      <c r="B96" t="str">
        <v>Roqitt</v>
      </c>
      <c r="C96">
        <v>0</v>
      </c>
      <c r="G96">
        <v>0</v>
      </c>
      <c r="H96">
        <v>0</v>
      </c>
    </row>
    <row r="97">
      <c r="A97" t="str">
        <v>Lafarge</v>
      </c>
      <c r="B97" t="str">
        <v>Bikash</v>
      </c>
      <c r="C97">
        <v>0</v>
      </c>
      <c r="G97">
        <v>1</v>
      </c>
      <c r="H97">
        <v>0</v>
      </c>
    </row>
    <row r="98">
      <c r="A98" t="str">
        <v>OML DHL</v>
      </c>
      <c r="B98" t="str">
        <v>OML DHL</v>
      </c>
      <c r="C98">
        <v>1</v>
      </c>
    </row>
  </sheetData>
  <autoFilter ref="A1:G98"/>
  <pageMargins left="0.7" right="0.7" top="0.75" bottom="0.75" header="0.3" footer="0.3"/>
  <ignoredErrors>
    <ignoredError numberStoredAsText="1" sqref="A1:H98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sheetData>
    <row r="1">
      <c r="A1" t="str">
        <v>t</v>
      </c>
    </row>
    <row r="2">
      <c r="A2" t="str">
        <v>Diagnostic: Fault No Engine Rpm</v>
      </c>
    </row>
    <row r="3">
      <c r="A3" t="str">
        <v>Free  Wheeling</v>
      </c>
    </row>
    <row r="4">
      <c r="A4" t="str">
        <v>Harsh Acceleration</v>
      </c>
    </row>
    <row r="5">
      <c r="A5" t="str">
        <v>Harsh Braking</v>
      </c>
    </row>
    <row r="6">
      <c r="A6" t="str">
        <v>Over Revving</v>
      </c>
    </row>
    <row r="7">
      <c r="A7" t="str">
        <v>Over Speeding</v>
      </c>
    </row>
    <row r="8">
      <c r="A8" t="str">
        <v>Over Speeding In Location</v>
      </c>
    </row>
  </sheetData>
  <pageMargins left="0.7" right="0.7" top="0.75" bottom="0.75" header="0.3" footer="0.3"/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</vt:lpstr>
      <vt:lpstr>SubGroups</vt:lpstr>
      <vt:lpstr>LibEvents</vt:lpstr>
      <vt:lpstr>Reports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2023-07-12T04:29:00Z</dcterms:created>
  <dcterms:modified xsi:type="dcterms:W3CDTF">2026-06-03T17:49:31Z</dcterms:modified>
  <cp:lastModifiedBy>LE</cp:lastModifiedBy>
  <cp:lastPrinted>2023-09-03T12:03:00Z</cp:lastPrin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87861DC48A4A4EFCB598CAA60FBD5208_12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